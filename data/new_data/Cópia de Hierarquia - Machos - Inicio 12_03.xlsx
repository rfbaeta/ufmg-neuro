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03 - Dia Teste" sheetId="1" r:id="rId5"/>
    <sheet state="visible" name="1703 - Dia 1" sheetId="2" r:id="rId6"/>
    <sheet state="visible" name="1803 - Dia 2" sheetId="3" r:id="rId7"/>
    <sheet state="visible" name="1903 - Dia 3 " sheetId="4" r:id="rId8"/>
    <sheet state="visible" name="2003 - Dia 4" sheetId="5" r:id="rId9"/>
  </sheets>
  <definedNames/>
  <calcPr/>
</workbook>
</file>

<file path=xl/sharedStrings.xml><?xml version="1.0" encoding="utf-8"?>
<sst xmlns="http://schemas.openxmlformats.org/spreadsheetml/2006/main" count="121" uniqueCount="23">
  <si>
    <t>Experimento</t>
  </si>
  <si>
    <t>Teste do Tubo</t>
  </si>
  <si>
    <t>Hora de Inicio</t>
  </si>
  <si>
    <t>Hora de termino</t>
  </si>
  <si>
    <t>Animal 1</t>
  </si>
  <si>
    <t>Animal 2</t>
  </si>
  <si>
    <t>Vencedor</t>
  </si>
  <si>
    <t>Latencia (s)</t>
  </si>
  <si>
    <t>Peso</t>
  </si>
  <si>
    <t>Vitorias</t>
  </si>
  <si>
    <t>Hierarquia</t>
  </si>
  <si>
    <t>Obs</t>
  </si>
  <si>
    <t>Animal 3</t>
  </si>
  <si>
    <t>Animal 4</t>
  </si>
  <si>
    <t>Animal 5</t>
  </si>
  <si>
    <t>Animal 6</t>
  </si>
  <si>
    <t>Tag estava com numero diferente. Feita a modificacao</t>
  </si>
  <si>
    <t>Animal 7</t>
  </si>
  <si>
    <t>Animal 8</t>
  </si>
  <si>
    <t>Animal 9</t>
  </si>
  <si>
    <t>Animal 10</t>
  </si>
  <si>
    <t>Animal 11</t>
  </si>
  <si>
    <t>Animal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</si>
</sst>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11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9" fillId="0" fontId="1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10" max="10" width="8.75"/>
    <col customWidth="1" min="11" max="11" width="88.88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3"/>
      <c r="C2" s="3"/>
      <c r="D2" s="3"/>
      <c r="E2" s="4"/>
    </row>
    <row r="3">
      <c r="A3" s="6">
        <v>46098.0</v>
      </c>
      <c r="B3" s="7" t="s">
        <v>2</v>
      </c>
      <c r="D3" s="7" t="s">
        <v>3</v>
      </c>
      <c r="E3" s="4"/>
    </row>
    <row r="4">
      <c r="A4" s="3"/>
      <c r="B4" s="3"/>
      <c r="C4" s="3"/>
      <c r="D4" s="3"/>
      <c r="E4" s="4"/>
    </row>
    <row r="5">
      <c r="A5" s="8" t="s">
        <v>4</v>
      </c>
      <c r="B5" s="9" t="s">
        <v>5</v>
      </c>
      <c r="C5" s="9" t="s">
        <v>6</v>
      </c>
      <c r="D5" s="10" t="s">
        <v>7</v>
      </c>
      <c r="F5" s="11"/>
      <c r="G5" s="12" t="s">
        <v>8</v>
      </c>
      <c r="H5" s="9" t="s">
        <v>9</v>
      </c>
      <c r="I5" s="13" t="s">
        <v>10</v>
      </c>
      <c r="K5" s="14" t="s">
        <v>11</v>
      </c>
    </row>
    <row r="6">
      <c r="A6" s="15">
        <v>1.0</v>
      </c>
      <c r="B6" s="16">
        <v>2.0</v>
      </c>
      <c r="C6" s="16">
        <v>1.0</v>
      </c>
      <c r="D6" s="17"/>
      <c r="F6" s="15" t="s">
        <v>4</v>
      </c>
      <c r="G6" s="18">
        <v>21.0</v>
      </c>
      <c r="H6" s="19">
        <f>COUNTIF(C6:C71,1)</f>
        <v>11</v>
      </c>
      <c r="I6" s="17">
        <f>RANK(H6,H6:H17,0)</f>
        <v>1</v>
      </c>
      <c r="K6" s="20"/>
    </row>
    <row r="7">
      <c r="A7" s="15">
        <v>1.0</v>
      </c>
      <c r="B7" s="16">
        <v>3.0</v>
      </c>
      <c r="C7" s="16">
        <v>1.0</v>
      </c>
      <c r="D7" s="17"/>
      <c r="F7" s="15" t="s">
        <v>5</v>
      </c>
      <c r="G7" s="18">
        <v>20.0</v>
      </c>
      <c r="H7" s="19">
        <f>COUNTIF(C6:C71,2)</f>
        <v>8</v>
      </c>
      <c r="I7" s="17">
        <f>RANK(H7,H6:H17,0)</f>
        <v>2</v>
      </c>
      <c r="K7" s="20"/>
    </row>
    <row r="8">
      <c r="A8" s="15">
        <v>1.0</v>
      </c>
      <c r="B8" s="16">
        <v>4.0</v>
      </c>
      <c r="C8" s="16">
        <v>1.0</v>
      </c>
      <c r="D8" s="17"/>
      <c r="F8" s="15" t="s">
        <v>12</v>
      </c>
      <c r="G8" s="18">
        <v>22.0</v>
      </c>
      <c r="H8" s="19">
        <f>COUNTIF(C6:C71,3)</f>
        <v>3</v>
      </c>
      <c r="I8" s="17">
        <f>RANK(H8,H6:H17,0)</f>
        <v>9</v>
      </c>
      <c r="K8" s="20"/>
    </row>
    <row r="9">
      <c r="A9" s="15">
        <v>1.0</v>
      </c>
      <c r="B9" s="16">
        <v>5.0</v>
      </c>
      <c r="C9" s="16">
        <v>1.0</v>
      </c>
      <c r="D9" s="17"/>
      <c r="F9" s="15" t="s">
        <v>13</v>
      </c>
      <c r="G9" s="18">
        <v>21.0</v>
      </c>
      <c r="H9" s="19">
        <f>COUNTIF(C6:C71,4)</f>
        <v>3</v>
      </c>
      <c r="I9" s="17">
        <f>RANK(H9,H6:H17,0)</f>
        <v>9</v>
      </c>
      <c r="K9" s="20"/>
    </row>
    <row r="10">
      <c r="A10" s="15">
        <v>1.0</v>
      </c>
      <c r="B10" s="16">
        <v>6.0</v>
      </c>
      <c r="C10" s="16">
        <v>1.0</v>
      </c>
      <c r="D10" s="17"/>
      <c r="F10" s="15" t="s">
        <v>14</v>
      </c>
      <c r="G10" s="18">
        <v>19.0</v>
      </c>
      <c r="H10" s="19">
        <f>COUNTIF(C6:C71,5)</f>
        <v>5</v>
      </c>
      <c r="I10" s="17">
        <f>RANK(H10,H6:H17,0)</f>
        <v>7</v>
      </c>
      <c r="K10" s="20"/>
    </row>
    <row r="11">
      <c r="A11" s="15">
        <v>1.0</v>
      </c>
      <c r="B11" s="16">
        <v>7.0</v>
      </c>
      <c r="C11" s="16">
        <v>1.0</v>
      </c>
      <c r="D11" s="17"/>
      <c r="F11" s="15" t="s">
        <v>15</v>
      </c>
      <c r="G11" s="18">
        <v>25.0</v>
      </c>
      <c r="H11" s="19">
        <f>COUNTIF(C6:C71,6)</f>
        <v>5</v>
      </c>
      <c r="I11" s="17">
        <f>RANK(H11,H6:H17,0)</f>
        <v>7</v>
      </c>
      <c r="K11" s="21" t="s">
        <v>16</v>
      </c>
    </row>
    <row r="12">
      <c r="A12" s="15">
        <v>1.0</v>
      </c>
      <c r="B12" s="16">
        <v>8.0</v>
      </c>
      <c r="C12" s="16">
        <v>1.0</v>
      </c>
      <c r="D12" s="17"/>
      <c r="F12" s="15" t="s">
        <v>17</v>
      </c>
      <c r="G12" s="18">
        <v>19.0</v>
      </c>
      <c r="H12" s="19">
        <f>COUNTIF(C6:C71,7)</f>
        <v>7</v>
      </c>
      <c r="I12" s="17">
        <f>RANK(H12,H6:H17,0)</f>
        <v>3</v>
      </c>
      <c r="K12" s="20"/>
    </row>
    <row r="13">
      <c r="A13" s="15">
        <v>1.0</v>
      </c>
      <c r="B13" s="16">
        <v>9.0</v>
      </c>
      <c r="C13" s="16">
        <v>1.0</v>
      </c>
      <c r="D13" s="17"/>
      <c r="F13" s="15" t="s">
        <v>18</v>
      </c>
      <c r="G13" s="18">
        <v>20.0</v>
      </c>
      <c r="H13" s="19">
        <f>COUNTIF(C6:C71,8)</f>
        <v>2</v>
      </c>
      <c r="I13" s="17">
        <f>RANK(H13,H6:H17,0)</f>
        <v>11</v>
      </c>
      <c r="K13" s="20"/>
    </row>
    <row r="14">
      <c r="A14" s="15">
        <v>1.0</v>
      </c>
      <c r="B14" s="16">
        <v>10.0</v>
      </c>
      <c r="C14" s="16">
        <v>1.0</v>
      </c>
      <c r="D14" s="17"/>
      <c r="F14" s="15" t="s">
        <v>19</v>
      </c>
      <c r="G14" s="18">
        <v>22.0</v>
      </c>
      <c r="H14" s="19">
        <f>COUNTIF(C6:C71,9)</f>
        <v>7</v>
      </c>
      <c r="I14" s="17">
        <f>RANK(H14,H6:H17,0)</f>
        <v>3</v>
      </c>
      <c r="K14" s="20"/>
    </row>
    <row r="15">
      <c r="A15" s="15">
        <v>1.0</v>
      </c>
      <c r="B15" s="16">
        <v>11.0</v>
      </c>
      <c r="C15" s="16">
        <v>1.0</v>
      </c>
      <c r="D15" s="17"/>
      <c r="F15" s="15" t="s">
        <v>20</v>
      </c>
      <c r="G15" s="18">
        <v>22.0</v>
      </c>
      <c r="H15" s="19">
        <f>COUNTIF(C6:C71,10)</f>
        <v>6</v>
      </c>
      <c r="I15" s="17">
        <f>RANK(H15,H6:H17,0)</f>
        <v>6</v>
      </c>
      <c r="K15" s="20"/>
    </row>
    <row r="16">
      <c r="A16" s="15">
        <v>1.0</v>
      </c>
      <c r="B16" s="16">
        <v>12.0</v>
      </c>
      <c r="C16" s="16">
        <v>1.0</v>
      </c>
      <c r="D16" s="17"/>
      <c r="F16" s="15" t="s">
        <v>21</v>
      </c>
      <c r="G16" s="18">
        <v>24.0</v>
      </c>
      <c r="H16" s="19">
        <f>COUNTIF(C6:C71,11)</f>
        <v>7</v>
      </c>
      <c r="I16" s="17">
        <f>RANK(H16,H6:H17,0)</f>
        <v>3</v>
      </c>
      <c r="K16" s="20"/>
    </row>
    <row r="17">
      <c r="A17" s="15">
        <v>2.0</v>
      </c>
      <c r="B17" s="16">
        <v>3.0</v>
      </c>
      <c r="C17" s="16">
        <v>2.0</v>
      </c>
      <c r="D17" s="17"/>
      <c r="F17" s="22" t="s">
        <v>22</v>
      </c>
      <c r="G17" s="23">
        <v>23.0</v>
      </c>
      <c r="H17" s="24">
        <f>COUNTIF(C6:C71,12)</f>
        <v>2</v>
      </c>
      <c r="I17" s="25">
        <f>RANK(H17,H6:H17,0)</f>
        <v>11</v>
      </c>
      <c r="K17" s="26"/>
    </row>
    <row r="18">
      <c r="A18" s="15">
        <v>2.0</v>
      </c>
      <c r="B18" s="16">
        <v>4.0</v>
      </c>
      <c r="C18" s="16">
        <v>2.0</v>
      </c>
      <c r="D18" s="17"/>
    </row>
    <row r="19">
      <c r="A19" s="15">
        <v>2.0</v>
      </c>
      <c r="B19" s="16">
        <v>5.0</v>
      </c>
      <c r="C19" s="16">
        <v>5.0</v>
      </c>
      <c r="D19" s="17"/>
    </row>
    <row r="20">
      <c r="A20" s="15">
        <v>2.0</v>
      </c>
      <c r="B20" s="16">
        <v>6.0</v>
      </c>
      <c r="C20" s="16">
        <v>2.0</v>
      </c>
      <c r="D20" s="17"/>
    </row>
    <row r="21">
      <c r="A21" s="15">
        <v>2.0</v>
      </c>
      <c r="B21" s="16">
        <v>7.0</v>
      </c>
      <c r="C21" s="16">
        <v>2.0</v>
      </c>
      <c r="D21" s="17"/>
    </row>
    <row r="22">
      <c r="A22" s="15">
        <v>2.0</v>
      </c>
      <c r="B22" s="16">
        <v>8.0</v>
      </c>
      <c r="C22" s="16">
        <v>2.0</v>
      </c>
      <c r="D22" s="17"/>
    </row>
    <row r="23">
      <c r="A23" s="15">
        <v>2.0</v>
      </c>
      <c r="B23" s="16">
        <v>9.0</v>
      </c>
      <c r="C23" s="16">
        <v>2.0</v>
      </c>
      <c r="D23" s="17"/>
    </row>
    <row r="24">
      <c r="A24" s="15">
        <v>2.0</v>
      </c>
      <c r="B24" s="16">
        <v>10.0</v>
      </c>
      <c r="C24" s="16">
        <v>2.0</v>
      </c>
      <c r="D24" s="17"/>
    </row>
    <row r="25">
      <c r="A25" s="15">
        <v>2.0</v>
      </c>
      <c r="B25" s="16">
        <v>11.0</v>
      </c>
      <c r="C25" s="16">
        <v>11.0</v>
      </c>
      <c r="D25" s="17"/>
    </row>
    <row r="26">
      <c r="A26" s="15">
        <v>2.0</v>
      </c>
      <c r="B26" s="16">
        <v>12.0</v>
      </c>
      <c r="C26" s="16">
        <v>2.0</v>
      </c>
      <c r="D26" s="17"/>
    </row>
    <row r="27">
      <c r="A27" s="15">
        <v>3.0</v>
      </c>
      <c r="B27" s="16">
        <v>4.0</v>
      </c>
      <c r="C27" s="16">
        <v>4.0</v>
      </c>
      <c r="D27" s="17"/>
    </row>
    <row r="28">
      <c r="A28" s="15">
        <v>3.0</v>
      </c>
      <c r="B28" s="16">
        <v>5.0</v>
      </c>
      <c r="C28" s="16">
        <v>5.0</v>
      </c>
      <c r="D28" s="17"/>
    </row>
    <row r="29">
      <c r="A29" s="15">
        <v>3.0</v>
      </c>
      <c r="B29" s="16">
        <v>6.0</v>
      </c>
      <c r="C29" s="16">
        <v>3.0</v>
      </c>
      <c r="D29" s="17"/>
    </row>
    <row r="30">
      <c r="A30" s="15">
        <v>3.0</v>
      </c>
      <c r="B30" s="16">
        <v>7.0</v>
      </c>
      <c r="C30" s="16">
        <v>7.0</v>
      </c>
      <c r="D30" s="17"/>
    </row>
    <row r="31">
      <c r="A31" s="15">
        <v>3.0</v>
      </c>
      <c r="B31" s="16">
        <v>8.0</v>
      </c>
      <c r="C31" s="16">
        <v>8.0</v>
      </c>
      <c r="D31" s="17"/>
    </row>
    <row r="32">
      <c r="A32" s="15">
        <v>3.0</v>
      </c>
      <c r="B32" s="16">
        <v>9.0</v>
      </c>
      <c r="C32" s="16">
        <v>9.0</v>
      </c>
      <c r="D32" s="17"/>
    </row>
    <row r="33">
      <c r="A33" s="15">
        <v>3.0</v>
      </c>
      <c r="B33" s="16">
        <v>10.0</v>
      </c>
      <c r="C33" s="16">
        <v>3.0</v>
      </c>
      <c r="D33" s="17"/>
    </row>
    <row r="34">
      <c r="A34" s="15">
        <v>3.0</v>
      </c>
      <c r="B34" s="16">
        <v>11.0</v>
      </c>
      <c r="C34" s="16">
        <v>11.0</v>
      </c>
      <c r="D34" s="17"/>
    </row>
    <row r="35">
      <c r="A35" s="15">
        <v>3.0</v>
      </c>
      <c r="B35" s="16">
        <v>12.0</v>
      </c>
      <c r="C35" s="16">
        <v>3.0</v>
      </c>
      <c r="D35" s="17"/>
    </row>
    <row r="36">
      <c r="A36" s="15">
        <v>4.0</v>
      </c>
      <c r="B36" s="16">
        <v>5.0</v>
      </c>
      <c r="C36" s="16">
        <v>5.0</v>
      </c>
      <c r="D36" s="17"/>
    </row>
    <row r="37">
      <c r="A37" s="15">
        <v>4.0</v>
      </c>
      <c r="B37" s="16">
        <v>6.0</v>
      </c>
      <c r="C37" s="16">
        <v>6.0</v>
      </c>
      <c r="D37" s="17"/>
    </row>
    <row r="38">
      <c r="A38" s="15">
        <v>4.0</v>
      </c>
      <c r="B38" s="16">
        <v>7.0</v>
      </c>
      <c r="C38" s="16">
        <v>7.0</v>
      </c>
      <c r="D38" s="17"/>
    </row>
    <row r="39">
      <c r="A39" s="15">
        <v>4.0</v>
      </c>
      <c r="B39" s="16">
        <v>8.0</v>
      </c>
      <c r="C39" s="16">
        <v>4.0</v>
      </c>
      <c r="D39" s="17"/>
    </row>
    <row r="40">
      <c r="A40" s="15">
        <v>4.0</v>
      </c>
      <c r="B40" s="16">
        <v>9.0</v>
      </c>
      <c r="C40" s="16">
        <v>9.0</v>
      </c>
      <c r="D40" s="17"/>
    </row>
    <row r="41">
      <c r="A41" s="15">
        <v>4.0</v>
      </c>
      <c r="B41" s="16">
        <v>10.0</v>
      </c>
      <c r="C41" s="16">
        <v>10.0</v>
      </c>
      <c r="D41" s="17"/>
    </row>
    <row r="42">
      <c r="A42" s="15">
        <v>4.0</v>
      </c>
      <c r="B42" s="16">
        <v>11.0</v>
      </c>
      <c r="C42" s="16">
        <v>11.0</v>
      </c>
      <c r="D42" s="17"/>
    </row>
    <row r="43">
      <c r="A43" s="15">
        <v>4.0</v>
      </c>
      <c r="B43" s="16">
        <v>12.0</v>
      </c>
      <c r="C43" s="16">
        <v>4.0</v>
      </c>
      <c r="D43" s="17"/>
    </row>
    <row r="44">
      <c r="A44" s="15">
        <v>5.0</v>
      </c>
      <c r="B44" s="16">
        <v>6.0</v>
      </c>
      <c r="C44" s="16">
        <v>6.0</v>
      </c>
      <c r="D44" s="17"/>
    </row>
    <row r="45">
      <c r="A45" s="15">
        <v>5.0</v>
      </c>
      <c r="B45" s="16">
        <v>7.0</v>
      </c>
      <c r="C45" s="16">
        <v>7.0</v>
      </c>
      <c r="D45" s="17"/>
    </row>
    <row r="46">
      <c r="A46" s="15">
        <v>5.0</v>
      </c>
      <c r="B46" s="16">
        <v>8.0</v>
      </c>
      <c r="C46" s="16">
        <v>5.0</v>
      </c>
      <c r="D46" s="17"/>
    </row>
    <row r="47">
      <c r="A47" s="15">
        <v>5.0</v>
      </c>
      <c r="B47" s="16">
        <v>9.0</v>
      </c>
      <c r="C47" s="16">
        <v>5.0</v>
      </c>
      <c r="D47" s="17"/>
    </row>
    <row r="48">
      <c r="A48" s="15">
        <v>5.0</v>
      </c>
      <c r="B48" s="16">
        <v>10.0</v>
      </c>
      <c r="C48" s="16">
        <v>10.0</v>
      </c>
      <c r="D48" s="17"/>
    </row>
    <row r="49">
      <c r="A49" s="15">
        <v>5.0</v>
      </c>
      <c r="B49" s="16">
        <v>11.0</v>
      </c>
      <c r="C49" s="16">
        <v>11.0</v>
      </c>
      <c r="D49" s="17"/>
    </row>
    <row r="50">
      <c r="A50" s="15">
        <v>5.0</v>
      </c>
      <c r="B50" s="16">
        <v>12.0</v>
      </c>
      <c r="C50" s="16">
        <v>12.0</v>
      </c>
      <c r="D50" s="17"/>
    </row>
    <row r="51">
      <c r="A51" s="15">
        <v>6.0</v>
      </c>
      <c r="B51" s="16">
        <v>7.0</v>
      </c>
      <c r="C51" s="16">
        <v>6.0</v>
      </c>
      <c r="D51" s="17"/>
    </row>
    <row r="52">
      <c r="A52" s="15">
        <v>6.0</v>
      </c>
      <c r="B52" s="16">
        <v>8.0</v>
      </c>
      <c r="C52" s="16">
        <v>6.0</v>
      </c>
      <c r="D52" s="17"/>
    </row>
    <row r="53">
      <c r="A53" s="15">
        <v>6.0</v>
      </c>
      <c r="B53" s="16">
        <v>9.0</v>
      </c>
      <c r="C53" s="16">
        <v>9.0</v>
      </c>
      <c r="D53" s="17"/>
    </row>
    <row r="54">
      <c r="A54" s="15">
        <v>6.0</v>
      </c>
      <c r="B54" s="16">
        <v>10.0</v>
      </c>
      <c r="C54" s="16">
        <v>10.0</v>
      </c>
      <c r="D54" s="17"/>
    </row>
    <row r="55">
      <c r="A55" s="15">
        <v>6.0</v>
      </c>
      <c r="B55" s="16">
        <v>11.0</v>
      </c>
      <c r="C55" s="16">
        <v>6.0</v>
      </c>
      <c r="D55" s="17"/>
    </row>
    <row r="56">
      <c r="A56" s="15">
        <v>6.0</v>
      </c>
      <c r="B56" s="16">
        <v>12.0</v>
      </c>
      <c r="C56" s="16">
        <v>12.0</v>
      </c>
      <c r="D56" s="17"/>
    </row>
    <row r="57">
      <c r="A57" s="15">
        <v>7.0</v>
      </c>
      <c r="B57" s="16">
        <v>8.0</v>
      </c>
      <c r="C57" s="16">
        <v>7.0</v>
      </c>
      <c r="D57" s="17"/>
    </row>
    <row r="58">
      <c r="A58" s="15">
        <v>7.0</v>
      </c>
      <c r="B58" s="16">
        <v>9.0</v>
      </c>
      <c r="C58" s="16">
        <v>9.0</v>
      </c>
      <c r="D58" s="17"/>
    </row>
    <row r="59">
      <c r="A59" s="15">
        <v>7.0</v>
      </c>
      <c r="B59" s="16">
        <v>10.0</v>
      </c>
      <c r="C59" s="16">
        <v>7.0</v>
      </c>
      <c r="D59" s="17"/>
    </row>
    <row r="60">
      <c r="A60" s="15">
        <v>7.0</v>
      </c>
      <c r="B60" s="16">
        <v>11.0</v>
      </c>
      <c r="C60" s="16">
        <v>7.0</v>
      </c>
      <c r="D60" s="17"/>
    </row>
    <row r="61">
      <c r="A61" s="15">
        <v>7.0</v>
      </c>
      <c r="B61" s="16">
        <v>12.0</v>
      </c>
      <c r="C61" s="16">
        <v>7.0</v>
      </c>
      <c r="D61" s="17"/>
    </row>
    <row r="62">
      <c r="A62" s="15">
        <v>8.0</v>
      </c>
      <c r="B62" s="16">
        <v>9.0</v>
      </c>
      <c r="C62" s="16">
        <v>9.0</v>
      </c>
      <c r="D62" s="17"/>
    </row>
    <row r="63">
      <c r="A63" s="15">
        <v>8.0</v>
      </c>
      <c r="B63" s="16">
        <v>10.0</v>
      </c>
      <c r="C63" s="16">
        <v>10.0</v>
      </c>
      <c r="D63" s="17"/>
    </row>
    <row r="64">
      <c r="A64" s="15">
        <v>8.0</v>
      </c>
      <c r="B64" s="16">
        <v>11.0</v>
      </c>
      <c r="C64" s="16">
        <v>11.0</v>
      </c>
      <c r="D64" s="17"/>
    </row>
    <row r="65">
      <c r="A65" s="15">
        <v>8.0</v>
      </c>
      <c r="B65" s="16">
        <v>12.0</v>
      </c>
      <c r="C65" s="16">
        <v>8.0</v>
      </c>
      <c r="D65" s="17"/>
    </row>
    <row r="66">
      <c r="A66" s="15">
        <v>9.0</v>
      </c>
      <c r="B66" s="16">
        <v>10.0</v>
      </c>
      <c r="C66" s="16">
        <v>9.0</v>
      </c>
      <c r="D66" s="17"/>
    </row>
    <row r="67">
      <c r="A67" s="15">
        <v>9.0</v>
      </c>
      <c r="B67" s="16">
        <v>11.0</v>
      </c>
      <c r="C67" s="16">
        <v>11.0</v>
      </c>
      <c r="D67" s="17"/>
    </row>
    <row r="68">
      <c r="A68" s="15">
        <v>9.0</v>
      </c>
      <c r="B68" s="16">
        <v>12.0</v>
      </c>
      <c r="C68" s="16">
        <v>9.0</v>
      </c>
      <c r="D68" s="17"/>
    </row>
    <row r="69">
      <c r="A69" s="15">
        <v>10.0</v>
      </c>
      <c r="B69" s="16">
        <v>11.0</v>
      </c>
      <c r="C69" s="16">
        <v>10.0</v>
      </c>
      <c r="D69" s="17"/>
    </row>
    <row r="70">
      <c r="A70" s="15">
        <v>10.0</v>
      </c>
      <c r="B70" s="16">
        <v>12.0</v>
      </c>
      <c r="C70" s="16">
        <v>10.0</v>
      </c>
      <c r="D70" s="17"/>
    </row>
    <row r="71">
      <c r="A71" s="22">
        <v>11.0</v>
      </c>
      <c r="B71" s="27">
        <v>12.0</v>
      </c>
      <c r="C71" s="27">
        <v>11.0</v>
      </c>
      <c r="D71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88.88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3"/>
      <c r="C2" s="3"/>
      <c r="D2" s="3"/>
      <c r="E2" s="4"/>
    </row>
    <row r="3">
      <c r="A3" s="6">
        <v>46093.0</v>
      </c>
      <c r="B3" s="7" t="s">
        <v>2</v>
      </c>
      <c r="D3" s="7" t="s">
        <v>3</v>
      </c>
      <c r="E3" s="4"/>
    </row>
    <row r="4">
      <c r="A4" s="3"/>
      <c r="B4" s="3"/>
      <c r="C4" s="3"/>
      <c r="D4" s="3"/>
      <c r="E4" s="4"/>
    </row>
    <row r="5">
      <c r="A5" s="8" t="s">
        <v>4</v>
      </c>
      <c r="B5" s="9" t="s">
        <v>5</v>
      </c>
      <c r="C5" s="9" t="s">
        <v>6</v>
      </c>
      <c r="D5" s="10" t="s">
        <v>7</v>
      </c>
      <c r="F5" s="11"/>
      <c r="G5" s="12" t="s">
        <v>8</v>
      </c>
      <c r="H5" s="9" t="s">
        <v>9</v>
      </c>
      <c r="I5" s="13" t="s">
        <v>10</v>
      </c>
      <c r="K5" s="14" t="s">
        <v>11</v>
      </c>
    </row>
    <row r="6">
      <c r="A6" s="15">
        <v>1.0</v>
      </c>
      <c r="B6" s="16">
        <v>2.0</v>
      </c>
      <c r="C6" s="16">
        <v>1.0</v>
      </c>
      <c r="D6" s="17"/>
      <c r="F6" s="15" t="s">
        <v>4</v>
      </c>
      <c r="G6" s="18">
        <v>22.0</v>
      </c>
      <c r="H6" s="19">
        <f>COUNTIF(C6:C71,1)</f>
        <v>11</v>
      </c>
      <c r="I6" s="17">
        <f>RANK(H6,H6:H17,0)</f>
        <v>1</v>
      </c>
      <c r="K6" s="20"/>
    </row>
    <row r="7">
      <c r="A7" s="15">
        <v>1.0</v>
      </c>
      <c r="B7" s="16">
        <v>3.0</v>
      </c>
      <c r="C7" s="16">
        <v>1.0</v>
      </c>
      <c r="D7" s="17"/>
      <c r="F7" s="15" t="s">
        <v>5</v>
      </c>
      <c r="G7" s="18">
        <v>21.0</v>
      </c>
      <c r="H7" s="19">
        <f>COUNTIF(C6:C71,2)</f>
        <v>5</v>
      </c>
      <c r="I7" s="17">
        <f>RANK(H7,H6:H17,0)</f>
        <v>6</v>
      </c>
      <c r="K7" s="20"/>
    </row>
    <row r="8">
      <c r="A8" s="15">
        <v>1.0</v>
      </c>
      <c r="B8" s="16">
        <v>4.0</v>
      </c>
      <c r="C8" s="16">
        <v>1.0</v>
      </c>
      <c r="D8" s="17"/>
      <c r="F8" s="15" t="s">
        <v>12</v>
      </c>
      <c r="G8" s="18">
        <v>22.0</v>
      </c>
      <c r="H8" s="19">
        <f>COUNTIF(C6:C71,3)</f>
        <v>4</v>
      </c>
      <c r="I8" s="17">
        <f>RANK(H8,H6:H17,0)</f>
        <v>10</v>
      </c>
      <c r="K8" s="20"/>
    </row>
    <row r="9">
      <c r="A9" s="15">
        <v>1.0</v>
      </c>
      <c r="B9" s="16">
        <v>5.0</v>
      </c>
      <c r="C9" s="16">
        <v>1.0</v>
      </c>
      <c r="D9" s="17"/>
      <c r="F9" s="15" t="s">
        <v>13</v>
      </c>
      <c r="G9" s="18">
        <v>21.0</v>
      </c>
      <c r="H9" s="19">
        <f>COUNTIF(C6:C71,4)</f>
        <v>6</v>
      </c>
      <c r="I9" s="17">
        <f>RANK(H9,H6:H17,0)</f>
        <v>4</v>
      </c>
      <c r="K9" s="20"/>
    </row>
    <row r="10">
      <c r="A10" s="15">
        <v>1.0</v>
      </c>
      <c r="B10" s="16">
        <v>6.0</v>
      </c>
      <c r="C10" s="16">
        <v>1.0</v>
      </c>
      <c r="D10" s="17"/>
      <c r="F10" s="15" t="s">
        <v>14</v>
      </c>
      <c r="G10" s="18">
        <v>18.0</v>
      </c>
      <c r="H10" s="19">
        <f>COUNTIF(C6:C71,5)</f>
        <v>0</v>
      </c>
      <c r="I10" s="17">
        <f>RANK(H10,H6:H17,0)</f>
        <v>12</v>
      </c>
      <c r="K10" s="20"/>
    </row>
    <row r="11">
      <c r="A11" s="15">
        <v>1.0</v>
      </c>
      <c r="B11" s="16">
        <v>7.0</v>
      </c>
      <c r="C11" s="16">
        <v>1.0</v>
      </c>
      <c r="D11" s="17"/>
      <c r="F11" s="15" t="s">
        <v>15</v>
      </c>
      <c r="G11" s="18">
        <v>24.0</v>
      </c>
      <c r="H11" s="19">
        <f>COUNTIF(C6:C71,6)</f>
        <v>10</v>
      </c>
      <c r="I11" s="17">
        <f>RANK(H11,H6:H17,0)</f>
        <v>2</v>
      </c>
      <c r="K11" s="20"/>
    </row>
    <row r="12">
      <c r="A12" s="15">
        <v>1.0</v>
      </c>
      <c r="B12" s="16">
        <v>8.0</v>
      </c>
      <c r="C12" s="16">
        <v>1.0</v>
      </c>
      <c r="D12" s="17"/>
      <c r="F12" s="15" t="s">
        <v>17</v>
      </c>
      <c r="G12" s="18">
        <v>20.0</v>
      </c>
      <c r="H12" s="19">
        <f>COUNTIF(C6:C71,7)</f>
        <v>5</v>
      </c>
      <c r="I12" s="17">
        <f>RANK(H12,H6:H17,0)</f>
        <v>6</v>
      </c>
      <c r="K12" s="20"/>
    </row>
    <row r="13">
      <c r="A13" s="15">
        <v>1.0</v>
      </c>
      <c r="B13" s="16">
        <v>9.0</v>
      </c>
      <c r="C13" s="16">
        <v>1.0</v>
      </c>
      <c r="D13" s="17"/>
      <c r="F13" s="15" t="s">
        <v>18</v>
      </c>
      <c r="G13" s="18">
        <v>20.0</v>
      </c>
      <c r="H13" s="19">
        <f>COUNTIF(C6:C71,8)</f>
        <v>5</v>
      </c>
      <c r="I13" s="17">
        <f>RANK(H13,H6:H17,0)</f>
        <v>6</v>
      </c>
      <c r="K13" s="20"/>
    </row>
    <row r="14">
      <c r="A14" s="15">
        <v>1.0</v>
      </c>
      <c r="B14" s="16">
        <v>10.0</v>
      </c>
      <c r="C14" s="16">
        <v>1.0</v>
      </c>
      <c r="D14" s="17"/>
      <c r="F14" s="15" t="s">
        <v>19</v>
      </c>
      <c r="G14" s="18">
        <v>22.0</v>
      </c>
      <c r="H14" s="19">
        <f>COUNTIF(C6:C71,9)</f>
        <v>5</v>
      </c>
      <c r="I14" s="17">
        <f>RANK(H14,H6:H17,0)</f>
        <v>6</v>
      </c>
      <c r="K14" s="20"/>
    </row>
    <row r="15">
      <c r="A15" s="15">
        <v>1.0</v>
      </c>
      <c r="B15" s="16">
        <v>11.0</v>
      </c>
      <c r="C15" s="16">
        <v>1.0</v>
      </c>
      <c r="D15" s="17"/>
      <c r="F15" s="15" t="s">
        <v>20</v>
      </c>
      <c r="G15" s="18">
        <v>23.0</v>
      </c>
      <c r="H15" s="19">
        <f>COUNTIF(C6:C71,10)</f>
        <v>7</v>
      </c>
      <c r="I15" s="17">
        <f>RANK(H15,H6:H17,0)</f>
        <v>3</v>
      </c>
      <c r="K15" s="20"/>
    </row>
    <row r="16">
      <c r="A16" s="15">
        <v>1.0</v>
      </c>
      <c r="B16" s="16">
        <v>12.0</v>
      </c>
      <c r="C16" s="16">
        <v>1.0</v>
      </c>
      <c r="D16" s="17"/>
      <c r="F16" s="15" t="s">
        <v>21</v>
      </c>
      <c r="G16" s="18">
        <v>24.0</v>
      </c>
      <c r="H16" s="19">
        <f>COUNTIF(C6:C71,11)</f>
        <v>6</v>
      </c>
      <c r="I16" s="17">
        <f>RANK(H16,H6:H17,0)</f>
        <v>4</v>
      </c>
      <c r="K16" s="20"/>
    </row>
    <row r="17">
      <c r="A17" s="15">
        <v>2.0</v>
      </c>
      <c r="B17" s="16">
        <v>3.0</v>
      </c>
      <c r="C17" s="16">
        <v>3.0</v>
      </c>
      <c r="D17" s="17"/>
      <c r="F17" s="22" t="s">
        <v>22</v>
      </c>
      <c r="G17" s="23">
        <v>22.0</v>
      </c>
      <c r="H17" s="24">
        <f>COUNTIF(C6:C71,12)</f>
        <v>2</v>
      </c>
      <c r="I17" s="25">
        <f>RANK(H17,H6:H17,0)</f>
        <v>11</v>
      </c>
      <c r="K17" s="26"/>
    </row>
    <row r="18">
      <c r="A18" s="15">
        <v>2.0</v>
      </c>
      <c r="B18" s="16">
        <v>4.0</v>
      </c>
      <c r="C18" s="16">
        <v>2.0</v>
      </c>
      <c r="D18" s="17"/>
    </row>
    <row r="19">
      <c r="A19" s="15">
        <v>2.0</v>
      </c>
      <c r="B19" s="16">
        <v>5.0</v>
      </c>
      <c r="C19" s="16">
        <v>2.0</v>
      </c>
      <c r="D19" s="17"/>
    </row>
    <row r="20">
      <c r="A20" s="15">
        <v>2.0</v>
      </c>
      <c r="B20" s="16">
        <v>6.0</v>
      </c>
      <c r="C20" s="16">
        <v>6.0</v>
      </c>
      <c r="D20" s="17"/>
    </row>
    <row r="21">
      <c r="A21" s="15">
        <v>2.0</v>
      </c>
      <c r="B21" s="16">
        <v>7.0</v>
      </c>
      <c r="C21" s="16">
        <v>7.0</v>
      </c>
      <c r="D21" s="17"/>
    </row>
    <row r="22">
      <c r="A22" s="15">
        <v>2.0</v>
      </c>
      <c r="B22" s="16">
        <v>8.0</v>
      </c>
      <c r="C22" s="16">
        <v>8.0</v>
      </c>
      <c r="D22" s="17"/>
    </row>
    <row r="23">
      <c r="A23" s="15">
        <v>2.0</v>
      </c>
      <c r="B23" s="16">
        <v>9.0</v>
      </c>
      <c r="C23" s="16">
        <v>9.0</v>
      </c>
      <c r="D23" s="17"/>
    </row>
    <row r="24">
      <c r="A24" s="15">
        <v>2.0</v>
      </c>
      <c r="B24" s="16">
        <v>10.0</v>
      </c>
      <c r="C24" s="16">
        <v>2.0</v>
      </c>
      <c r="D24" s="17"/>
    </row>
    <row r="25">
      <c r="A25" s="15">
        <v>2.0</v>
      </c>
      <c r="B25" s="16">
        <v>11.0</v>
      </c>
      <c r="C25" s="16">
        <v>2.0</v>
      </c>
      <c r="D25" s="17"/>
    </row>
    <row r="26">
      <c r="A26" s="15">
        <v>2.0</v>
      </c>
      <c r="B26" s="16">
        <v>12.0</v>
      </c>
      <c r="C26" s="16">
        <v>2.0</v>
      </c>
      <c r="D26" s="17"/>
    </row>
    <row r="27">
      <c r="A27" s="15">
        <v>3.0</v>
      </c>
      <c r="B27" s="16">
        <v>4.0</v>
      </c>
      <c r="C27" s="16">
        <v>4.0</v>
      </c>
      <c r="D27" s="17"/>
    </row>
    <row r="28">
      <c r="A28" s="15">
        <v>3.0</v>
      </c>
      <c r="B28" s="16">
        <v>5.0</v>
      </c>
      <c r="C28" s="16">
        <v>3.0</v>
      </c>
      <c r="D28" s="17"/>
    </row>
    <row r="29">
      <c r="A29" s="15">
        <v>3.0</v>
      </c>
      <c r="B29" s="16">
        <v>6.0</v>
      </c>
      <c r="C29" s="16">
        <v>6.0</v>
      </c>
      <c r="D29" s="17"/>
    </row>
    <row r="30">
      <c r="A30" s="15">
        <v>3.0</v>
      </c>
      <c r="B30" s="16">
        <v>7.0</v>
      </c>
      <c r="C30" s="16">
        <v>7.0</v>
      </c>
      <c r="D30" s="17"/>
    </row>
    <row r="31">
      <c r="A31" s="15">
        <v>3.0</v>
      </c>
      <c r="B31" s="16">
        <v>8.0</v>
      </c>
      <c r="C31" s="16">
        <v>8.0</v>
      </c>
      <c r="D31" s="17"/>
    </row>
    <row r="32">
      <c r="A32" s="15">
        <v>3.0</v>
      </c>
      <c r="B32" s="16">
        <v>9.0</v>
      </c>
      <c r="C32" s="16">
        <v>9.0</v>
      </c>
      <c r="D32" s="17"/>
    </row>
    <row r="33">
      <c r="A33" s="15">
        <v>3.0</v>
      </c>
      <c r="B33" s="16">
        <v>10.0</v>
      </c>
      <c r="C33" s="16">
        <v>3.0</v>
      </c>
      <c r="D33" s="17"/>
    </row>
    <row r="34">
      <c r="A34" s="15">
        <v>3.0</v>
      </c>
      <c r="B34" s="16">
        <v>11.0</v>
      </c>
      <c r="C34" s="16">
        <v>3.0</v>
      </c>
      <c r="D34" s="17"/>
    </row>
    <row r="35">
      <c r="A35" s="15">
        <v>3.0</v>
      </c>
      <c r="B35" s="16">
        <v>12.0</v>
      </c>
      <c r="C35" s="16">
        <v>12.0</v>
      </c>
      <c r="D35" s="17"/>
    </row>
    <row r="36">
      <c r="A36" s="15">
        <v>4.0</v>
      </c>
      <c r="B36" s="16">
        <v>5.0</v>
      </c>
      <c r="C36" s="16">
        <v>4.0</v>
      </c>
      <c r="D36" s="17"/>
    </row>
    <row r="37">
      <c r="A37" s="15">
        <v>4.0</v>
      </c>
      <c r="B37" s="16">
        <v>6.0</v>
      </c>
      <c r="C37" s="16">
        <v>6.0</v>
      </c>
      <c r="D37" s="17"/>
    </row>
    <row r="38">
      <c r="A38" s="15">
        <v>4.0</v>
      </c>
      <c r="B38" s="16">
        <v>7.0</v>
      </c>
      <c r="C38" s="16">
        <v>4.0</v>
      </c>
      <c r="D38" s="17"/>
    </row>
    <row r="39">
      <c r="A39" s="15">
        <v>4.0</v>
      </c>
      <c r="B39" s="16">
        <v>8.0</v>
      </c>
      <c r="C39" s="16">
        <v>4.0</v>
      </c>
      <c r="D39" s="17"/>
    </row>
    <row r="40">
      <c r="A40" s="15">
        <v>4.0</v>
      </c>
      <c r="B40" s="16">
        <v>9.0</v>
      </c>
      <c r="C40" s="16">
        <v>4.0</v>
      </c>
      <c r="D40" s="17"/>
    </row>
    <row r="41">
      <c r="A41" s="15">
        <v>4.0</v>
      </c>
      <c r="B41" s="16">
        <v>10.0</v>
      </c>
      <c r="C41" s="16">
        <v>10.0</v>
      </c>
      <c r="D41" s="17"/>
    </row>
    <row r="42">
      <c r="A42" s="15">
        <v>4.0</v>
      </c>
      <c r="B42" s="16">
        <v>11.0</v>
      </c>
      <c r="C42" s="16">
        <v>11.0</v>
      </c>
      <c r="D42" s="17"/>
    </row>
    <row r="43">
      <c r="A43" s="15">
        <v>4.0</v>
      </c>
      <c r="B43" s="16">
        <v>12.0</v>
      </c>
      <c r="C43" s="16">
        <v>4.0</v>
      </c>
      <c r="D43" s="17"/>
    </row>
    <row r="44">
      <c r="A44" s="15">
        <v>5.0</v>
      </c>
      <c r="B44" s="16">
        <v>6.0</v>
      </c>
      <c r="C44" s="16">
        <v>6.0</v>
      </c>
      <c r="D44" s="17"/>
    </row>
    <row r="45">
      <c r="A45" s="15">
        <v>5.0</v>
      </c>
      <c r="B45" s="16">
        <v>7.0</v>
      </c>
      <c r="C45" s="16">
        <v>7.0</v>
      </c>
      <c r="D45" s="17"/>
    </row>
    <row r="46">
      <c r="A46" s="15">
        <v>5.0</v>
      </c>
      <c r="B46" s="16">
        <v>8.0</v>
      </c>
      <c r="C46" s="16">
        <v>8.0</v>
      </c>
      <c r="D46" s="17"/>
    </row>
    <row r="47">
      <c r="A47" s="15">
        <v>5.0</v>
      </c>
      <c r="B47" s="16">
        <v>9.0</v>
      </c>
      <c r="C47" s="16">
        <v>9.0</v>
      </c>
      <c r="D47" s="17"/>
    </row>
    <row r="48">
      <c r="A48" s="15">
        <v>5.0</v>
      </c>
      <c r="B48" s="16">
        <v>10.0</v>
      </c>
      <c r="C48" s="16">
        <v>10.0</v>
      </c>
      <c r="D48" s="17"/>
    </row>
    <row r="49">
      <c r="A49" s="15">
        <v>5.0</v>
      </c>
      <c r="B49" s="16">
        <v>11.0</v>
      </c>
      <c r="C49" s="16">
        <v>11.0</v>
      </c>
      <c r="D49" s="17"/>
    </row>
    <row r="50">
      <c r="A50" s="15">
        <v>5.0</v>
      </c>
      <c r="B50" s="16">
        <v>12.0</v>
      </c>
      <c r="C50" s="16">
        <v>12.0</v>
      </c>
      <c r="D50" s="17"/>
    </row>
    <row r="51">
      <c r="A51" s="15">
        <v>6.0</v>
      </c>
      <c r="B51" s="16">
        <v>7.0</v>
      </c>
      <c r="C51" s="16">
        <v>6.0</v>
      </c>
      <c r="D51" s="17"/>
    </row>
    <row r="52">
      <c r="A52" s="15">
        <v>6.0</v>
      </c>
      <c r="B52" s="16">
        <v>8.0</v>
      </c>
      <c r="C52" s="16">
        <v>6.0</v>
      </c>
      <c r="D52" s="17"/>
    </row>
    <row r="53">
      <c r="A53" s="15">
        <v>6.0</v>
      </c>
      <c r="B53" s="16">
        <v>9.0</v>
      </c>
      <c r="C53" s="16">
        <v>6.0</v>
      </c>
      <c r="D53" s="17"/>
    </row>
    <row r="54">
      <c r="A54" s="15">
        <v>6.0</v>
      </c>
      <c r="B54" s="16">
        <v>10.0</v>
      </c>
      <c r="C54" s="16">
        <v>6.0</v>
      </c>
      <c r="D54" s="17"/>
    </row>
    <row r="55">
      <c r="A55" s="15">
        <v>6.0</v>
      </c>
      <c r="B55" s="16">
        <v>11.0</v>
      </c>
      <c r="C55" s="16">
        <v>6.0</v>
      </c>
      <c r="D55" s="17"/>
    </row>
    <row r="56">
      <c r="A56" s="15">
        <v>6.0</v>
      </c>
      <c r="B56" s="16">
        <v>12.0</v>
      </c>
      <c r="C56" s="16">
        <v>6.0</v>
      </c>
      <c r="D56" s="17"/>
    </row>
    <row r="57">
      <c r="A57" s="15">
        <v>7.0</v>
      </c>
      <c r="B57" s="16">
        <v>8.0</v>
      </c>
      <c r="C57" s="16">
        <v>8.0</v>
      </c>
      <c r="D57" s="17"/>
    </row>
    <row r="58">
      <c r="A58" s="15">
        <v>7.0</v>
      </c>
      <c r="B58" s="16">
        <v>9.0</v>
      </c>
      <c r="C58" s="16">
        <v>7.0</v>
      </c>
      <c r="D58" s="17"/>
    </row>
    <row r="59">
      <c r="A59" s="15">
        <v>7.0</v>
      </c>
      <c r="B59" s="16">
        <v>10.0</v>
      </c>
      <c r="C59" s="16">
        <v>10.0</v>
      </c>
      <c r="D59" s="17"/>
    </row>
    <row r="60">
      <c r="A60" s="15">
        <v>7.0</v>
      </c>
      <c r="B60" s="16">
        <v>11.0</v>
      </c>
      <c r="C60" s="16">
        <v>11.0</v>
      </c>
      <c r="D60" s="17"/>
    </row>
    <row r="61">
      <c r="A61" s="15">
        <v>7.0</v>
      </c>
      <c r="B61" s="16">
        <v>12.0</v>
      </c>
      <c r="C61" s="16">
        <v>7.0</v>
      </c>
      <c r="D61" s="17"/>
    </row>
    <row r="62">
      <c r="A62" s="15">
        <v>8.0</v>
      </c>
      <c r="B62" s="16">
        <v>9.0</v>
      </c>
      <c r="C62" s="16">
        <v>9.0</v>
      </c>
      <c r="D62" s="17"/>
    </row>
    <row r="63">
      <c r="A63" s="15">
        <v>8.0</v>
      </c>
      <c r="B63" s="16">
        <v>10.0</v>
      </c>
      <c r="C63" s="16">
        <v>10.0</v>
      </c>
      <c r="D63" s="17"/>
    </row>
    <row r="64">
      <c r="A64" s="15">
        <v>8.0</v>
      </c>
      <c r="B64" s="16">
        <v>11.0</v>
      </c>
      <c r="C64" s="16">
        <v>11.0</v>
      </c>
      <c r="D64" s="17"/>
    </row>
    <row r="65">
      <c r="A65" s="15">
        <v>8.0</v>
      </c>
      <c r="B65" s="16">
        <v>12.0</v>
      </c>
      <c r="C65" s="16">
        <v>8.0</v>
      </c>
      <c r="D65" s="17"/>
    </row>
    <row r="66">
      <c r="A66" s="15">
        <v>9.0</v>
      </c>
      <c r="B66" s="16">
        <v>10.0</v>
      </c>
      <c r="C66" s="16">
        <v>10.0</v>
      </c>
      <c r="D66" s="17"/>
    </row>
    <row r="67">
      <c r="A67" s="15">
        <v>9.0</v>
      </c>
      <c r="B67" s="16">
        <v>11.0</v>
      </c>
      <c r="C67" s="16">
        <v>11.0</v>
      </c>
      <c r="D67" s="17"/>
    </row>
    <row r="68">
      <c r="A68" s="15">
        <v>9.0</v>
      </c>
      <c r="B68" s="16">
        <v>12.0</v>
      </c>
      <c r="C68" s="16">
        <v>9.0</v>
      </c>
      <c r="D68" s="17"/>
    </row>
    <row r="69">
      <c r="A69" s="15">
        <v>10.0</v>
      </c>
      <c r="B69" s="16">
        <v>11.0</v>
      </c>
      <c r="C69" s="16">
        <v>10.0</v>
      </c>
      <c r="D69" s="17"/>
    </row>
    <row r="70">
      <c r="A70" s="15">
        <v>10.0</v>
      </c>
      <c r="B70" s="16">
        <v>12.0</v>
      </c>
      <c r="C70" s="16">
        <v>10.0</v>
      </c>
      <c r="D70" s="17"/>
    </row>
    <row r="71">
      <c r="A71" s="22">
        <v>11.0</v>
      </c>
      <c r="B71" s="27">
        <v>12.0</v>
      </c>
      <c r="C71" s="27">
        <v>11.0</v>
      </c>
      <c r="D7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88.88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3"/>
      <c r="C2" s="3"/>
      <c r="D2" s="3"/>
      <c r="E2" s="4"/>
    </row>
    <row r="3">
      <c r="A3" s="6">
        <v>46094.0</v>
      </c>
      <c r="B3" s="7" t="s">
        <v>2</v>
      </c>
      <c r="D3" s="7" t="s">
        <v>3</v>
      </c>
      <c r="E3" s="4"/>
    </row>
    <row r="4">
      <c r="A4" s="3"/>
      <c r="B4" s="3"/>
      <c r="C4" s="3"/>
      <c r="D4" s="3"/>
      <c r="E4" s="4"/>
    </row>
    <row r="5">
      <c r="A5" s="8" t="s">
        <v>4</v>
      </c>
      <c r="B5" s="9" t="s">
        <v>5</v>
      </c>
      <c r="C5" s="9" t="s">
        <v>6</v>
      </c>
      <c r="D5" s="10" t="s">
        <v>7</v>
      </c>
      <c r="F5" s="11"/>
      <c r="G5" s="12" t="s">
        <v>8</v>
      </c>
      <c r="H5" s="9" t="s">
        <v>9</v>
      </c>
      <c r="I5" s="13" t="s">
        <v>10</v>
      </c>
      <c r="K5" s="14" t="s">
        <v>11</v>
      </c>
    </row>
    <row r="6">
      <c r="A6" s="15">
        <v>1.0</v>
      </c>
      <c r="B6" s="16">
        <v>2.0</v>
      </c>
      <c r="C6" s="16">
        <v>1.0</v>
      </c>
      <c r="D6" s="17"/>
      <c r="F6" s="15" t="s">
        <v>4</v>
      </c>
      <c r="G6" s="18">
        <v>22.0</v>
      </c>
      <c r="H6" s="19">
        <f>COUNTIF(C6:C71,1)</f>
        <v>11</v>
      </c>
      <c r="I6" s="17">
        <f>RANK(H6,H6:H17,0)</f>
        <v>1</v>
      </c>
      <c r="K6" s="20"/>
    </row>
    <row r="7">
      <c r="A7" s="15">
        <v>1.0</v>
      </c>
      <c r="B7" s="16">
        <v>3.0</v>
      </c>
      <c r="C7" s="16">
        <v>1.0</v>
      </c>
      <c r="D7" s="17"/>
      <c r="F7" s="15" t="s">
        <v>5</v>
      </c>
      <c r="G7" s="18">
        <v>22.0</v>
      </c>
      <c r="H7" s="19">
        <f>COUNTIF(C6:C71,2)</f>
        <v>6</v>
      </c>
      <c r="I7" s="17">
        <f>RANK(H7,H6:H17,0)</f>
        <v>4</v>
      </c>
      <c r="K7" s="20"/>
    </row>
    <row r="8">
      <c r="A8" s="15">
        <v>1.0</v>
      </c>
      <c r="B8" s="16">
        <v>4.0</v>
      </c>
      <c r="C8" s="16">
        <v>1.0</v>
      </c>
      <c r="D8" s="17"/>
      <c r="F8" s="15" t="s">
        <v>12</v>
      </c>
      <c r="G8" s="18">
        <v>22.0</v>
      </c>
      <c r="H8" s="19">
        <f>COUNTIF(C6:C71,3)</f>
        <v>4</v>
      </c>
      <c r="I8" s="17">
        <f>RANK(H8,H6:H17,0)</f>
        <v>7</v>
      </c>
      <c r="K8" s="20"/>
    </row>
    <row r="9">
      <c r="A9" s="15">
        <v>1.0</v>
      </c>
      <c r="B9" s="16">
        <v>5.0</v>
      </c>
      <c r="C9" s="16">
        <v>1.0</v>
      </c>
      <c r="D9" s="17"/>
      <c r="F9" s="15" t="s">
        <v>13</v>
      </c>
      <c r="G9" s="18">
        <v>22.0</v>
      </c>
      <c r="H9" s="19">
        <f>COUNTIF(C6:C71,4)</f>
        <v>4</v>
      </c>
      <c r="I9" s="17">
        <f>RANK(H9,H6:H17,0)</f>
        <v>7</v>
      </c>
      <c r="K9" s="20"/>
    </row>
    <row r="10">
      <c r="A10" s="15">
        <v>1.0</v>
      </c>
      <c r="B10" s="16">
        <v>6.0</v>
      </c>
      <c r="C10" s="16">
        <v>1.0</v>
      </c>
      <c r="D10" s="17"/>
      <c r="F10" s="15" t="s">
        <v>14</v>
      </c>
      <c r="G10" s="18">
        <v>19.0</v>
      </c>
      <c r="H10" s="19">
        <f>COUNTIF(C6:C71,5)</f>
        <v>0</v>
      </c>
      <c r="I10" s="17">
        <f>RANK(H10,H6:H17,0)</f>
        <v>12</v>
      </c>
      <c r="K10" s="20"/>
    </row>
    <row r="11">
      <c r="A11" s="15">
        <v>1.0</v>
      </c>
      <c r="B11" s="16">
        <v>7.0</v>
      </c>
      <c r="C11" s="16">
        <v>1.0</v>
      </c>
      <c r="D11" s="17"/>
      <c r="F11" s="15" t="s">
        <v>15</v>
      </c>
      <c r="G11" s="18">
        <v>25.0</v>
      </c>
      <c r="H11" s="19">
        <f>COUNTIF(C6:C71,6)</f>
        <v>10</v>
      </c>
      <c r="I11" s="17">
        <f>RANK(H11,H6:H17,0)</f>
        <v>2</v>
      </c>
      <c r="K11" s="20"/>
    </row>
    <row r="12">
      <c r="A12" s="15">
        <v>1.0</v>
      </c>
      <c r="B12" s="16">
        <v>8.0</v>
      </c>
      <c r="C12" s="16">
        <v>1.0</v>
      </c>
      <c r="D12" s="17"/>
      <c r="F12" s="15" t="s">
        <v>17</v>
      </c>
      <c r="G12" s="18">
        <v>20.0</v>
      </c>
      <c r="H12" s="19">
        <f>COUNTIF(C6:C71,7)</f>
        <v>4</v>
      </c>
      <c r="I12" s="17">
        <f>RANK(H12,H6:H17,0)</f>
        <v>7</v>
      </c>
      <c r="K12" s="20"/>
    </row>
    <row r="13">
      <c r="A13" s="15">
        <v>1.0</v>
      </c>
      <c r="B13" s="16">
        <v>9.0</v>
      </c>
      <c r="C13" s="16">
        <v>1.0</v>
      </c>
      <c r="D13" s="17"/>
      <c r="F13" s="15" t="s">
        <v>18</v>
      </c>
      <c r="G13" s="18">
        <v>21.0</v>
      </c>
      <c r="H13" s="19">
        <f>COUNTIF(C6:C71,8)</f>
        <v>4</v>
      </c>
      <c r="I13" s="17">
        <f>RANK(H13,H6:H17,0)</f>
        <v>7</v>
      </c>
      <c r="K13" s="20"/>
    </row>
    <row r="14">
      <c r="A14" s="15">
        <v>1.0</v>
      </c>
      <c r="B14" s="16">
        <v>10.0</v>
      </c>
      <c r="C14" s="16">
        <v>1.0</v>
      </c>
      <c r="D14" s="17"/>
      <c r="F14" s="15" t="s">
        <v>19</v>
      </c>
      <c r="G14" s="18">
        <v>23.0</v>
      </c>
      <c r="H14" s="19">
        <f>COUNTIF(C6:C71,9)</f>
        <v>5</v>
      </c>
      <c r="I14" s="17">
        <f>RANK(H14,H6:H17,0)</f>
        <v>6</v>
      </c>
      <c r="K14" s="20"/>
    </row>
    <row r="15">
      <c r="A15" s="15">
        <v>1.0</v>
      </c>
      <c r="B15" s="16">
        <v>11.0</v>
      </c>
      <c r="C15" s="16">
        <v>1.0</v>
      </c>
      <c r="D15" s="17"/>
      <c r="F15" s="15" t="s">
        <v>20</v>
      </c>
      <c r="G15" s="18">
        <v>23.0</v>
      </c>
      <c r="H15" s="19">
        <f>COUNTIF(C6:C71,10)</f>
        <v>6</v>
      </c>
      <c r="I15" s="17">
        <f>RANK(H15,H6:H17,0)</f>
        <v>4</v>
      </c>
      <c r="K15" s="20"/>
    </row>
    <row r="16">
      <c r="A16" s="15">
        <v>1.0</v>
      </c>
      <c r="B16" s="16">
        <v>12.0</v>
      </c>
      <c r="C16" s="16">
        <v>1.0</v>
      </c>
      <c r="D16" s="17"/>
      <c r="F16" s="15" t="s">
        <v>21</v>
      </c>
      <c r="G16" s="18">
        <v>24.0</v>
      </c>
      <c r="H16" s="19">
        <f>COUNTIF(C6:C71,11)</f>
        <v>9</v>
      </c>
      <c r="I16" s="17">
        <f>RANK(H16,H6:H17,0)</f>
        <v>3</v>
      </c>
      <c r="K16" s="20"/>
    </row>
    <row r="17">
      <c r="A17" s="15">
        <v>2.0</v>
      </c>
      <c r="B17" s="16">
        <v>3.0</v>
      </c>
      <c r="C17" s="16">
        <v>3.0</v>
      </c>
      <c r="D17" s="17"/>
      <c r="F17" s="22" t="s">
        <v>22</v>
      </c>
      <c r="G17" s="23">
        <v>24.0</v>
      </c>
      <c r="H17" s="24">
        <f>COUNTIF(C6:C71,12)</f>
        <v>3</v>
      </c>
      <c r="I17" s="25">
        <f>RANK(H17,H6:H17,0)</f>
        <v>11</v>
      </c>
      <c r="K17" s="26"/>
    </row>
    <row r="18">
      <c r="A18" s="15">
        <v>2.0</v>
      </c>
      <c r="B18" s="16">
        <v>4.0</v>
      </c>
      <c r="C18" s="16">
        <v>2.0</v>
      </c>
      <c r="D18" s="17"/>
    </row>
    <row r="19">
      <c r="A19" s="15">
        <v>2.0</v>
      </c>
      <c r="B19" s="16">
        <v>5.0</v>
      </c>
      <c r="C19" s="16">
        <v>2.0</v>
      </c>
      <c r="D19" s="17"/>
    </row>
    <row r="20">
      <c r="A20" s="15">
        <v>2.0</v>
      </c>
      <c r="B20" s="16">
        <v>6.0</v>
      </c>
      <c r="C20" s="16">
        <v>6.0</v>
      </c>
      <c r="D20" s="17"/>
    </row>
    <row r="21">
      <c r="A21" s="15">
        <v>2.0</v>
      </c>
      <c r="B21" s="16">
        <v>7.0</v>
      </c>
      <c r="C21" s="16">
        <v>2.0</v>
      </c>
      <c r="D21" s="17"/>
    </row>
    <row r="22">
      <c r="A22" s="15">
        <v>2.0</v>
      </c>
      <c r="B22" s="16">
        <v>8.0</v>
      </c>
      <c r="C22" s="16">
        <v>8.0</v>
      </c>
      <c r="D22" s="17"/>
    </row>
    <row r="23">
      <c r="A23" s="15">
        <v>2.0</v>
      </c>
      <c r="B23" s="16">
        <v>9.0</v>
      </c>
      <c r="C23" s="16">
        <v>2.0</v>
      </c>
      <c r="D23" s="17"/>
    </row>
    <row r="24">
      <c r="A24" s="15">
        <v>2.0</v>
      </c>
      <c r="B24" s="16">
        <v>10.0</v>
      </c>
      <c r="C24" s="16">
        <v>2.0</v>
      </c>
      <c r="D24" s="17"/>
    </row>
    <row r="25">
      <c r="A25" s="15">
        <v>2.0</v>
      </c>
      <c r="B25" s="16">
        <v>11.0</v>
      </c>
      <c r="C25" s="16">
        <v>11.0</v>
      </c>
      <c r="D25" s="17"/>
    </row>
    <row r="26">
      <c r="A26" s="15">
        <v>2.0</v>
      </c>
      <c r="B26" s="16">
        <v>12.0</v>
      </c>
      <c r="C26" s="16">
        <v>2.0</v>
      </c>
      <c r="D26" s="17"/>
    </row>
    <row r="27">
      <c r="A27" s="15">
        <v>3.0</v>
      </c>
      <c r="B27" s="16">
        <v>4.0</v>
      </c>
      <c r="C27" s="16">
        <v>3.0</v>
      </c>
      <c r="D27" s="17"/>
    </row>
    <row r="28">
      <c r="A28" s="15">
        <v>3.0</v>
      </c>
      <c r="B28" s="16">
        <v>5.0</v>
      </c>
      <c r="C28" s="16">
        <v>3.0</v>
      </c>
      <c r="D28" s="17"/>
    </row>
    <row r="29">
      <c r="A29" s="15">
        <v>3.0</v>
      </c>
      <c r="B29" s="16">
        <v>6.0</v>
      </c>
      <c r="C29" s="16">
        <v>6.0</v>
      </c>
      <c r="D29" s="17"/>
    </row>
    <row r="30">
      <c r="A30" s="15">
        <v>3.0</v>
      </c>
      <c r="B30" s="16">
        <v>7.0</v>
      </c>
      <c r="C30" s="16">
        <v>7.0</v>
      </c>
      <c r="D30" s="17"/>
    </row>
    <row r="31">
      <c r="A31" s="15">
        <v>3.0</v>
      </c>
      <c r="B31" s="16">
        <v>8.0</v>
      </c>
      <c r="C31" s="16">
        <v>8.0</v>
      </c>
      <c r="D31" s="17"/>
    </row>
    <row r="32">
      <c r="A32" s="15">
        <v>3.0</v>
      </c>
      <c r="B32" s="16">
        <v>9.0</v>
      </c>
      <c r="C32" s="16">
        <v>9.0</v>
      </c>
      <c r="D32" s="17"/>
    </row>
    <row r="33">
      <c r="A33" s="15">
        <v>3.0</v>
      </c>
      <c r="B33" s="16">
        <v>10.0</v>
      </c>
      <c r="C33" s="16">
        <v>3.0</v>
      </c>
      <c r="D33" s="17"/>
    </row>
    <row r="34">
      <c r="A34" s="15">
        <v>3.0</v>
      </c>
      <c r="B34" s="16">
        <v>11.0</v>
      </c>
      <c r="C34" s="16">
        <v>11.0</v>
      </c>
      <c r="D34" s="17"/>
    </row>
    <row r="35">
      <c r="A35" s="15">
        <v>3.0</v>
      </c>
      <c r="B35" s="16">
        <v>12.0</v>
      </c>
      <c r="C35" s="16">
        <v>12.0</v>
      </c>
      <c r="D35" s="17"/>
    </row>
    <row r="36">
      <c r="A36" s="15">
        <v>4.0</v>
      </c>
      <c r="B36" s="16">
        <v>5.0</v>
      </c>
      <c r="C36" s="16">
        <v>4.0</v>
      </c>
      <c r="D36" s="17"/>
    </row>
    <row r="37">
      <c r="A37" s="15">
        <v>4.0</v>
      </c>
      <c r="B37" s="16">
        <v>6.0</v>
      </c>
      <c r="C37" s="16">
        <v>6.0</v>
      </c>
      <c r="D37" s="17"/>
    </row>
    <row r="38">
      <c r="A38" s="15">
        <v>4.0</v>
      </c>
      <c r="B38" s="16">
        <v>7.0</v>
      </c>
      <c r="C38" s="16">
        <v>4.0</v>
      </c>
      <c r="D38" s="17"/>
    </row>
    <row r="39">
      <c r="A39" s="15">
        <v>4.0</v>
      </c>
      <c r="B39" s="16">
        <v>8.0</v>
      </c>
      <c r="C39" s="16">
        <v>4.0</v>
      </c>
      <c r="D39" s="17"/>
    </row>
    <row r="40">
      <c r="A40" s="15">
        <v>4.0</v>
      </c>
      <c r="B40" s="16">
        <v>9.0</v>
      </c>
      <c r="C40" s="16">
        <v>9.0</v>
      </c>
      <c r="D40" s="17"/>
    </row>
    <row r="41">
      <c r="A41" s="15">
        <v>4.0</v>
      </c>
      <c r="B41" s="16">
        <v>10.0</v>
      </c>
      <c r="C41" s="16">
        <v>10.0</v>
      </c>
      <c r="D41" s="17"/>
    </row>
    <row r="42">
      <c r="A42" s="15">
        <v>4.0</v>
      </c>
      <c r="B42" s="16">
        <v>11.0</v>
      </c>
      <c r="C42" s="16">
        <v>11.0</v>
      </c>
      <c r="D42" s="17"/>
    </row>
    <row r="43">
      <c r="A43" s="15">
        <v>4.0</v>
      </c>
      <c r="B43" s="16">
        <v>12.0</v>
      </c>
      <c r="C43" s="16">
        <v>4.0</v>
      </c>
      <c r="D43" s="17"/>
    </row>
    <row r="44">
      <c r="A44" s="15">
        <v>5.0</v>
      </c>
      <c r="B44" s="16">
        <v>6.0</v>
      </c>
      <c r="C44" s="16">
        <v>6.0</v>
      </c>
      <c r="D44" s="17"/>
    </row>
    <row r="45">
      <c r="A45" s="15">
        <v>5.0</v>
      </c>
      <c r="B45" s="16">
        <v>7.0</v>
      </c>
      <c r="C45" s="16">
        <v>7.0</v>
      </c>
      <c r="D45" s="17"/>
    </row>
    <row r="46">
      <c r="A46" s="15">
        <v>5.0</v>
      </c>
      <c r="B46" s="16">
        <v>8.0</v>
      </c>
      <c r="C46" s="16">
        <v>8.0</v>
      </c>
      <c r="D46" s="17"/>
    </row>
    <row r="47">
      <c r="A47" s="15">
        <v>5.0</v>
      </c>
      <c r="B47" s="16">
        <v>9.0</v>
      </c>
      <c r="C47" s="16">
        <v>9.0</v>
      </c>
      <c r="D47" s="17"/>
    </row>
    <row r="48">
      <c r="A48" s="15">
        <v>5.0</v>
      </c>
      <c r="B48" s="16">
        <v>10.0</v>
      </c>
      <c r="C48" s="16">
        <v>10.0</v>
      </c>
      <c r="D48" s="17"/>
    </row>
    <row r="49">
      <c r="A49" s="15">
        <v>5.0</v>
      </c>
      <c r="B49" s="16">
        <v>11.0</v>
      </c>
      <c r="C49" s="16">
        <v>11.0</v>
      </c>
      <c r="D49" s="17"/>
    </row>
    <row r="50">
      <c r="A50" s="15">
        <v>5.0</v>
      </c>
      <c r="B50" s="16">
        <v>12.0</v>
      </c>
      <c r="C50" s="16">
        <v>12.0</v>
      </c>
      <c r="D50" s="17"/>
    </row>
    <row r="51">
      <c r="A51" s="15">
        <v>6.0</v>
      </c>
      <c r="B51" s="16">
        <v>7.0</v>
      </c>
      <c r="C51" s="16">
        <v>6.0</v>
      </c>
      <c r="D51" s="17"/>
    </row>
    <row r="52">
      <c r="A52" s="15">
        <v>6.0</v>
      </c>
      <c r="B52" s="16">
        <v>8.0</v>
      </c>
      <c r="C52" s="16">
        <v>6.0</v>
      </c>
      <c r="D52" s="17"/>
    </row>
    <row r="53">
      <c r="A53" s="15">
        <v>6.0</v>
      </c>
      <c r="B53" s="16">
        <v>9.0</v>
      </c>
      <c r="C53" s="16">
        <v>6.0</v>
      </c>
      <c r="D53" s="17"/>
    </row>
    <row r="54">
      <c r="A54" s="15">
        <v>6.0</v>
      </c>
      <c r="B54" s="16">
        <v>10.0</v>
      </c>
      <c r="C54" s="16">
        <v>6.0</v>
      </c>
      <c r="D54" s="17"/>
    </row>
    <row r="55">
      <c r="A55" s="15">
        <v>6.0</v>
      </c>
      <c r="B55" s="16">
        <v>11.0</v>
      </c>
      <c r="C55" s="16">
        <v>6.0</v>
      </c>
      <c r="D55" s="17"/>
    </row>
    <row r="56">
      <c r="A56" s="15">
        <v>6.0</v>
      </c>
      <c r="B56" s="16">
        <v>12.0</v>
      </c>
      <c r="C56" s="16">
        <v>6.0</v>
      </c>
      <c r="D56" s="17"/>
    </row>
    <row r="57">
      <c r="A57" s="15">
        <v>7.0</v>
      </c>
      <c r="B57" s="16">
        <v>8.0</v>
      </c>
      <c r="C57" s="16">
        <v>8.0</v>
      </c>
      <c r="D57" s="17"/>
    </row>
    <row r="58">
      <c r="A58" s="15">
        <v>7.0</v>
      </c>
      <c r="B58" s="16">
        <v>9.0</v>
      </c>
      <c r="C58" s="16">
        <v>7.0</v>
      </c>
      <c r="D58" s="17"/>
    </row>
    <row r="59">
      <c r="A59" s="15">
        <v>7.0</v>
      </c>
      <c r="B59" s="16">
        <v>10.0</v>
      </c>
      <c r="C59" s="16">
        <v>10.0</v>
      </c>
      <c r="D59" s="17"/>
    </row>
    <row r="60">
      <c r="A60" s="15">
        <v>7.0</v>
      </c>
      <c r="B60" s="16">
        <v>11.0</v>
      </c>
      <c r="C60" s="16">
        <v>11.0</v>
      </c>
      <c r="D60" s="17"/>
    </row>
    <row r="61">
      <c r="A61" s="15">
        <v>7.0</v>
      </c>
      <c r="B61" s="16">
        <v>12.0</v>
      </c>
      <c r="C61" s="16">
        <v>7.0</v>
      </c>
      <c r="D61" s="17"/>
    </row>
    <row r="62">
      <c r="A62" s="15">
        <v>8.0</v>
      </c>
      <c r="B62" s="16">
        <v>9.0</v>
      </c>
      <c r="C62" s="16">
        <v>9.0</v>
      </c>
      <c r="D62" s="17"/>
    </row>
    <row r="63">
      <c r="A63" s="15">
        <v>8.0</v>
      </c>
      <c r="B63" s="16">
        <v>10.0</v>
      </c>
      <c r="C63" s="16">
        <v>10.0</v>
      </c>
      <c r="D63" s="17"/>
    </row>
    <row r="64">
      <c r="A64" s="15">
        <v>8.0</v>
      </c>
      <c r="B64" s="16">
        <v>11.0</v>
      </c>
      <c r="C64" s="16">
        <v>11.0</v>
      </c>
      <c r="D64" s="17"/>
    </row>
    <row r="65">
      <c r="A65" s="15">
        <v>8.0</v>
      </c>
      <c r="B65" s="16">
        <v>12.0</v>
      </c>
      <c r="C65" s="16">
        <v>12.0</v>
      </c>
      <c r="D65" s="17"/>
    </row>
    <row r="66">
      <c r="A66" s="15">
        <v>9.0</v>
      </c>
      <c r="B66" s="16">
        <v>10.0</v>
      </c>
      <c r="C66" s="16">
        <v>10.0</v>
      </c>
      <c r="D66" s="17"/>
    </row>
    <row r="67">
      <c r="A67" s="15">
        <v>9.0</v>
      </c>
      <c r="B67" s="16">
        <v>11.0</v>
      </c>
      <c r="C67" s="16">
        <v>11.0</v>
      </c>
      <c r="D67" s="17"/>
    </row>
    <row r="68">
      <c r="A68" s="15">
        <v>9.0</v>
      </c>
      <c r="B68" s="16">
        <v>12.0</v>
      </c>
      <c r="C68" s="16">
        <v>9.0</v>
      </c>
      <c r="D68" s="17"/>
    </row>
    <row r="69">
      <c r="A69" s="15">
        <v>10.0</v>
      </c>
      <c r="B69" s="16">
        <v>11.0</v>
      </c>
      <c r="C69" s="16">
        <v>11.0</v>
      </c>
      <c r="D69" s="17"/>
    </row>
    <row r="70">
      <c r="A70" s="15">
        <v>10.0</v>
      </c>
      <c r="B70" s="16">
        <v>12.0</v>
      </c>
      <c r="C70" s="16">
        <v>10.0</v>
      </c>
      <c r="D70" s="17"/>
    </row>
    <row r="71">
      <c r="A71" s="22">
        <v>11.0</v>
      </c>
      <c r="B71" s="27">
        <v>12.0</v>
      </c>
      <c r="C71" s="27">
        <v>11.0</v>
      </c>
      <c r="D71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88.88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3"/>
      <c r="C2" s="3"/>
      <c r="D2" s="3"/>
      <c r="E2" s="4"/>
    </row>
    <row r="3">
      <c r="A3" s="6">
        <v>46094.0</v>
      </c>
      <c r="B3" s="7" t="s">
        <v>2</v>
      </c>
      <c r="D3" s="7" t="s">
        <v>3</v>
      </c>
      <c r="E3" s="4"/>
    </row>
    <row r="4">
      <c r="A4" s="3"/>
      <c r="B4" s="3"/>
      <c r="C4" s="3"/>
      <c r="D4" s="3"/>
      <c r="E4" s="4"/>
    </row>
    <row r="5">
      <c r="A5" s="8" t="s">
        <v>4</v>
      </c>
      <c r="B5" s="9" t="s">
        <v>5</v>
      </c>
      <c r="C5" s="9" t="s">
        <v>6</v>
      </c>
      <c r="D5" s="10" t="s">
        <v>7</v>
      </c>
      <c r="F5" s="11"/>
      <c r="G5" s="12" t="s">
        <v>8</v>
      </c>
      <c r="H5" s="9" t="s">
        <v>9</v>
      </c>
      <c r="I5" s="13" t="s">
        <v>10</v>
      </c>
      <c r="K5" s="14" t="s">
        <v>11</v>
      </c>
    </row>
    <row r="6">
      <c r="A6" s="15">
        <v>1.0</v>
      </c>
      <c r="B6" s="16">
        <v>2.0</v>
      </c>
      <c r="C6" s="19"/>
      <c r="D6" s="17"/>
      <c r="F6" s="15" t="s">
        <v>4</v>
      </c>
      <c r="G6" s="18">
        <v>24.0</v>
      </c>
      <c r="H6" s="19">
        <f>COUNTIF(C6:C71,1)</f>
        <v>9</v>
      </c>
      <c r="I6" s="17">
        <f>RANK(H6,H6:H17,0)</f>
        <v>2</v>
      </c>
      <c r="K6" s="20"/>
    </row>
    <row r="7">
      <c r="A7" s="15">
        <v>1.0</v>
      </c>
      <c r="B7" s="16">
        <v>3.0</v>
      </c>
      <c r="C7" s="16">
        <v>1.0</v>
      </c>
      <c r="D7" s="17"/>
      <c r="F7" s="15" t="s">
        <v>5</v>
      </c>
      <c r="G7" s="18">
        <v>21.0</v>
      </c>
      <c r="H7" s="19">
        <f>COUNTIF(C6:C71,2)</f>
        <v>5</v>
      </c>
      <c r="I7" s="17">
        <f>RANK(H7,H6:H17,0)</f>
        <v>6</v>
      </c>
      <c r="K7" s="20"/>
    </row>
    <row r="8">
      <c r="A8" s="15">
        <v>1.0</v>
      </c>
      <c r="B8" s="16">
        <v>4.0</v>
      </c>
      <c r="C8" s="16">
        <v>1.0</v>
      </c>
      <c r="D8" s="17"/>
      <c r="F8" s="15" t="s">
        <v>12</v>
      </c>
      <c r="G8" s="18">
        <v>22.0</v>
      </c>
      <c r="H8" s="19">
        <f>COUNTIF(C6:C71,3)</f>
        <v>4</v>
      </c>
      <c r="I8" s="17">
        <f>RANK(H8,H6:H17,0)</f>
        <v>8</v>
      </c>
      <c r="K8" s="20"/>
    </row>
    <row r="9">
      <c r="A9" s="15">
        <v>1.0</v>
      </c>
      <c r="B9" s="16">
        <v>5.0</v>
      </c>
      <c r="C9" s="16">
        <v>1.0</v>
      </c>
      <c r="D9" s="17"/>
      <c r="F9" s="15" t="s">
        <v>13</v>
      </c>
      <c r="G9" s="18">
        <v>22.0</v>
      </c>
      <c r="H9" s="19">
        <f>COUNTIF(C6:C71,4)</f>
        <v>3</v>
      </c>
      <c r="I9" s="17">
        <f>RANK(H9,H6:H17,0)</f>
        <v>10</v>
      </c>
      <c r="K9" s="20"/>
    </row>
    <row r="10">
      <c r="A10" s="15">
        <v>1.0</v>
      </c>
      <c r="B10" s="16">
        <v>6.0</v>
      </c>
      <c r="C10" s="16">
        <v>6.0</v>
      </c>
      <c r="D10" s="17"/>
      <c r="F10" s="15" t="s">
        <v>14</v>
      </c>
      <c r="G10" s="18">
        <v>20.0</v>
      </c>
      <c r="H10" s="19">
        <f>COUNTIF(C6:C71,5)</f>
        <v>0</v>
      </c>
      <c r="I10" s="17">
        <f>RANK(H10,H6:H17,0)</f>
        <v>12</v>
      </c>
      <c r="K10" s="20"/>
    </row>
    <row r="11">
      <c r="A11" s="15">
        <v>1.0</v>
      </c>
      <c r="B11" s="16">
        <v>7.0</v>
      </c>
      <c r="C11" s="16">
        <v>1.0</v>
      </c>
      <c r="D11" s="17"/>
      <c r="F11" s="15" t="s">
        <v>15</v>
      </c>
      <c r="G11" s="18">
        <v>24.0</v>
      </c>
      <c r="H11" s="19">
        <f>COUNTIF(C6:C71,6)</f>
        <v>11</v>
      </c>
      <c r="I11" s="17">
        <f>RANK(H11,H6:H17,0)</f>
        <v>1</v>
      </c>
      <c r="K11" s="20"/>
    </row>
    <row r="12">
      <c r="A12" s="15">
        <v>1.0</v>
      </c>
      <c r="B12" s="16">
        <v>8.0</v>
      </c>
      <c r="C12" s="16">
        <v>1.0</v>
      </c>
      <c r="D12" s="17"/>
      <c r="F12" s="15" t="s">
        <v>17</v>
      </c>
      <c r="G12" s="18">
        <v>21.0</v>
      </c>
      <c r="H12" s="19">
        <f>COUNTIF(C6:C71,7)</f>
        <v>6</v>
      </c>
      <c r="I12" s="17">
        <f>RANK(H12,H6:H17,0)</f>
        <v>4</v>
      </c>
      <c r="K12" s="20"/>
    </row>
    <row r="13">
      <c r="A13" s="15">
        <v>1.0</v>
      </c>
      <c r="B13" s="16">
        <v>9.0</v>
      </c>
      <c r="C13" s="16">
        <v>1.0</v>
      </c>
      <c r="D13" s="17"/>
      <c r="F13" s="15" t="s">
        <v>18</v>
      </c>
      <c r="G13" s="18">
        <v>21.0</v>
      </c>
      <c r="H13" s="19">
        <f>COUNTIF(C6:C71,8)</f>
        <v>3</v>
      </c>
      <c r="I13" s="17">
        <f>RANK(H13,H6:H17,0)</f>
        <v>10</v>
      </c>
      <c r="K13" s="20"/>
    </row>
    <row r="14">
      <c r="A14" s="15">
        <v>1.0</v>
      </c>
      <c r="B14" s="16">
        <v>10.0</v>
      </c>
      <c r="C14" s="16">
        <v>1.0</v>
      </c>
      <c r="D14" s="17"/>
      <c r="F14" s="15" t="s">
        <v>19</v>
      </c>
      <c r="G14" s="18">
        <v>23.0</v>
      </c>
      <c r="H14" s="19">
        <f>COUNTIF(C6:C71,9)</f>
        <v>4</v>
      </c>
      <c r="I14" s="17">
        <f>RANK(H14,H6:H17,0)</f>
        <v>8</v>
      </c>
      <c r="K14" s="20"/>
    </row>
    <row r="15">
      <c r="A15" s="15">
        <v>1.0</v>
      </c>
      <c r="B15" s="16">
        <v>11.0</v>
      </c>
      <c r="C15" s="16">
        <v>1.0</v>
      </c>
      <c r="D15" s="17"/>
      <c r="F15" s="15" t="s">
        <v>20</v>
      </c>
      <c r="G15" s="18">
        <v>23.0</v>
      </c>
      <c r="H15" s="19">
        <f>COUNTIF(C6:C71,10)</f>
        <v>6</v>
      </c>
      <c r="I15" s="17">
        <f>RANK(H15,H6:H17,0)</f>
        <v>4</v>
      </c>
      <c r="K15" s="20"/>
    </row>
    <row r="16">
      <c r="A16" s="15">
        <v>1.0</v>
      </c>
      <c r="B16" s="16">
        <v>12.0</v>
      </c>
      <c r="C16" s="16">
        <v>1.0</v>
      </c>
      <c r="D16" s="17"/>
      <c r="F16" s="15" t="s">
        <v>21</v>
      </c>
      <c r="G16" s="18">
        <v>25.0</v>
      </c>
      <c r="H16" s="19">
        <f>COUNTIF(C6:C71,11)</f>
        <v>9</v>
      </c>
      <c r="I16" s="17">
        <f>RANK(H16,H6:H17,0)</f>
        <v>2</v>
      </c>
      <c r="K16" s="20"/>
    </row>
    <row r="17">
      <c r="A17" s="15">
        <v>2.0</v>
      </c>
      <c r="B17" s="16">
        <v>3.0</v>
      </c>
      <c r="C17" s="16">
        <v>3.0</v>
      </c>
      <c r="D17" s="17"/>
      <c r="F17" s="22" t="s">
        <v>22</v>
      </c>
      <c r="G17" s="23">
        <v>24.0</v>
      </c>
      <c r="H17" s="24">
        <f>COUNTIF(C6:C71,12)</f>
        <v>5</v>
      </c>
      <c r="I17" s="25">
        <f>RANK(H17,H6:H17,0)</f>
        <v>6</v>
      </c>
      <c r="K17" s="26"/>
    </row>
    <row r="18">
      <c r="A18" s="15">
        <v>2.0</v>
      </c>
      <c r="B18" s="16">
        <v>4.0</v>
      </c>
      <c r="C18" s="16">
        <v>4.0</v>
      </c>
      <c r="D18" s="17"/>
    </row>
    <row r="19">
      <c r="A19" s="15">
        <v>2.0</v>
      </c>
      <c r="B19" s="16">
        <v>5.0</v>
      </c>
      <c r="C19" s="16">
        <v>2.0</v>
      </c>
      <c r="D19" s="17"/>
    </row>
    <row r="20">
      <c r="A20" s="15">
        <v>2.0</v>
      </c>
      <c r="B20" s="16">
        <v>6.0</v>
      </c>
      <c r="C20" s="16">
        <v>6.0</v>
      </c>
      <c r="D20" s="17"/>
    </row>
    <row r="21">
      <c r="A21" s="15">
        <v>2.0</v>
      </c>
      <c r="B21" s="16">
        <v>7.0</v>
      </c>
      <c r="C21" s="16">
        <v>2.0</v>
      </c>
      <c r="D21" s="17"/>
    </row>
    <row r="22">
      <c r="A22" s="15">
        <v>2.0</v>
      </c>
      <c r="B22" s="16">
        <v>8.0</v>
      </c>
      <c r="C22" s="16">
        <v>2.0</v>
      </c>
      <c r="D22" s="17"/>
    </row>
    <row r="23">
      <c r="A23" s="15">
        <v>2.0</v>
      </c>
      <c r="B23" s="16">
        <v>9.0</v>
      </c>
      <c r="C23" s="16">
        <v>2.0</v>
      </c>
      <c r="D23" s="17"/>
    </row>
    <row r="24">
      <c r="A24" s="15">
        <v>2.0</v>
      </c>
      <c r="B24" s="16">
        <v>10.0</v>
      </c>
      <c r="C24" s="16">
        <v>2.0</v>
      </c>
      <c r="D24" s="17"/>
    </row>
    <row r="25">
      <c r="A25" s="15">
        <v>2.0</v>
      </c>
      <c r="B25" s="16">
        <v>11.0</v>
      </c>
      <c r="C25" s="16">
        <v>11.0</v>
      </c>
      <c r="D25" s="17"/>
    </row>
    <row r="26">
      <c r="A26" s="15">
        <v>2.0</v>
      </c>
      <c r="B26" s="16">
        <v>12.0</v>
      </c>
      <c r="C26" s="16">
        <v>12.0</v>
      </c>
      <c r="D26" s="17"/>
    </row>
    <row r="27">
      <c r="A27" s="15">
        <v>3.0</v>
      </c>
      <c r="B27" s="16">
        <v>4.0</v>
      </c>
      <c r="C27" s="16">
        <v>3.0</v>
      </c>
      <c r="D27" s="17"/>
    </row>
    <row r="28">
      <c r="A28" s="15">
        <v>3.0</v>
      </c>
      <c r="B28" s="16">
        <v>5.0</v>
      </c>
      <c r="C28" s="16">
        <v>3.0</v>
      </c>
      <c r="D28" s="17"/>
    </row>
    <row r="29">
      <c r="A29" s="15">
        <v>3.0</v>
      </c>
      <c r="B29" s="16">
        <v>6.0</v>
      </c>
      <c r="C29" s="16">
        <v>6.0</v>
      </c>
      <c r="D29" s="17"/>
    </row>
    <row r="30">
      <c r="A30" s="15">
        <v>3.0</v>
      </c>
      <c r="B30" s="16">
        <v>7.0</v>
      </c>
      <c r="C30" s="16">
        <v>7.0</v>
      </c>
      <c r="D30" s="17"/>
    </row>
    <row r="31">
      <c r="A31" s="15">
        <v>3.0</v>
      </c>
      <c r="B31" s="16">
        <v>8.0</v>
      </c>
      <c r="C31" s="16">
        <v>8.0</v>
      </c>
      <c r="D31" s="17"/>
    </row>
    <row r="32">
      <c r="A32" s="15">
        <v>3.0</v>
      </c>
      <c r="B32" s="16">
        <v>9.0</v>
      </c>
      <c r="C32" s="16">
        <v>9.0</v>
      </c>
      <c r="D32" s="17"/>
    </row>
    <row r="33">
      <c r="A33" s="15">
        <v>3.0</v>
      </c>
      <c r="B33" s="16">
        <v>10.0</v>
      </c>
      <c r="C33" s="16">
        <v>3.0</v>
      </c>
      <c r="D33" s="17"/>
    </row>
    <row r="34">
      <c r="A34" s="15">
        <v>3.0</v>
      </c>
      <c r="B34" s="16">
        <v>11.0</v>
      </c>
      <c r="C34" s="16">
        <v>11.0</v>
      </c>
      <c r="D34" s="17"/>
    </row>
    <row r="35">
      <c r="A35" s="15">
        <v>3.0</v>
      </c>
      <c r="B35" s="16">
        <v>12.0</v>
      </c>
      <c r="C35" s="16">
        <v>12.0</v>
      </c>
      <c r="D35" s="17"/>
    </row>
    <row r="36">
      <c r="A36" s="15">
        <v>4.0</v>
      </c>
      <c r="B36" s="16">
        <v>5.0</v>
      </c>
      <c r="C36" s="16">
        <v>4.0</v>
      </c>
      <c r="D36" s="17"/>
    </row>
    <row r="37">
      <c r="A37" s="15">
        <v>4.0</v>
      </c>
      <c r="B37" s="16">
        <v>6.0</v>
      </c>
      <c r="C37" s="16">
        <v>6.0</v>
      </c>
      <c r="D37" s="17"/>
    </row>
    <row r="38">
      <c r="A38" s="15">
        <v>4.0</v>
      </c>
      <c r="B38" s="16">
        <v>7.0</v>
      </c>
      <c r="C38" s="16">
        <v>7.0</v>
      </c>
      <c r="D38" s="17"/>
    </row>
    <row r="39">
      <c r="A39" s="15">
        <v>4.0</v>
      </c>
      <c r="B39" s="16">
        <v>8.0</v>
      </c>
      <c r="C39" s="16">
        <v>4.0</v>
      </c>
      <c r="D39" s="17"/>
    </row>
    <row r="40">
      <c r="A40" s="15">
        <v>4.0</v>
      </c>
      <c r="B40" s="16">
        <v>9.0</v>
      </c>
      <c r="C40" s="16">
        <v>9.0</v>
      </c>
      <c r="D40" s="17"/>
    </row>
    <row r="41">
      <c r="A41" s="15">
        <v>4.0</v>
      </c>
      <c r="B41" s="16">
        <v>10.0</v>
      </c>
      <c r="C41" s="16">
        <v>10.0</v>
      </c>
      <c r="D41" s="17"/>
    </row>
    <row r="42">
      <c r="A42" s="15">
        <v>4.0</v>
      </c>
      <c r="B42" s="16">
        <v>11.0</v>
      </c>
      <c r="C42" s="16">
        <v>11.0</v>
      </c>
      <c r="D42" s="17"/>
    </row>
    <row r="43">
      <c r="A43" s="15">
        <v>4.0</v>
      </c>
      <c r="B43" s="16">
        <v>12.0</v>
      </c>
      <c r="C43" s="16">
        <v>12.0</v>
      </c>
      <c r="D43" s="17"/>
    </row>
    <row r="44">
      <c r="A44" s="15">
        <v>5.0</v>
      </c>
      <c r="B44" s="16">
        <v>6.0</v>
      </c>
      <c r="C44" s="16">
        <v>6.0</v>
      </c>
      <c r="D44" s="17"/>
    </row>
    <row r="45">
      <c r="A45" s="15">
        <v>5.0</v>
      </c>
      <c r="B45" s="16">
        <v>7.0</v>
      </c>
      <c r="C45" s="16">
        <v>7.0</v>
      </c>
      <c r="D45" s="17"/>
    </row>
    <row r="46">
      <c r="A46" s="15">
        <v>5.0</v>
      </c>
      <c r="B46" s="16">
        <v>8.0</v>
      </c>
      <c r="C46" s="16">
        <v>8.0</v>
      </c>
      <c r="D46" s="17"/>
    </row>
    <row r="47">
      <c r="A47" s="15">
        <v>5.0</v>
      </c>
      <c r="B47" s="16">
        <v>9.0</v>
      </c>
      <c r="C47" s="16">
        <v>9.0</v>
      </c>
      <c r="D47" s="17"/>
    </row>
    <row r="48">
      <c r="A48" s="15">
        <v>5.0</v>
      </c>
      <c r="B48" s="16">
        <v>10.0</v>
      </c>
      <c r="C48" s="16">
        <v>10.0</v>
      </c>
      <c r="D48" s="17"/>
    </row>
    <row r="49">
      <c r="A49" s="15">
        <v>5.0</v>
      </c>
      <c r="B49" s="16">
        <v>11.0</v>
      </c>
      <c r="C49" s="16">
        <v>11.0</v>
      </c>
      <c r="D49" s="17"/>
    </row>
    <row r="50">
      <c r="A50" s="15">
        <v>5.0</v>
      </c>
      <c r="B50" s="16">
        <v>12.0</v>
      </c>
      <c r="C50" s="16">
        <v>12.0</v>
      </c>
      <c r="D50" s="17"/>
    </row>
    <row r="51">
      <c r="A51" s="15">
        <v>6.0</v>
      </c>
      <c r="B51" s="16">
        <v>7.0</v>
      </c>
      <c r="C51" s="16">
        <v>6.0</v>
      </c>
      <c r="D51" s="17"/>
    </row>
    <row r="52">
      <c r="A52" s="15">
        <v>6.0</v>
      </c>
      <c r="B52" s="16">
        <v>8.0</v>
      </c>
      <c r="C52" s="16">
        <v>6.0</v>
      </c>
      <c r="D52" s="17"/>
    </row>
    <row r="53">
      <c r="A53" s="15">
        <v>6.0</v>
      </c>
      <c r="B53" s="16">
        <v>9.0</v>
      </c>
      <c r="C53" s="16">
        <v>6.0</v>
      </c>
      <c r="D53" s="17"/>
    </row>
    <row r="54">
      <c r="A54" s="15">
        <v>6.0</v>
      </c>
      <c r="B54" s="16">
        <v>10.0</v>
      </c>
      <c r="C54" s="16">
        <v>6.0</v>
      </c>
      <c r="D54" s="17"/>
    </row>
    <row r="55">
      <c r="A55" s="15">
        <v>6.0</v>
      </c>
      <c r="B55" s="16">
        <v>11.0</v>
      </c>
      <c r="C55" s="16">
        <v>6.0</v>
      </c>
      <c r="D55" s="17"/>
    </row>
    <row r="56">
      <c r="A56" s="15">
        <v>6.0</v>
      </c>
      <c r="B56" s="16">
        <v>12.0</v>
      </c>
      <c r="C56" s="16">
        <v>6.0</v>
      </c>
      <c r="D56" s="17"/>
    </row>
    <row r="57">
      <c r="A57" s="15">
        <v>7.0</v>
      </c>
      <c r="B57" s="16">
        <v>8.0</v>
      </c>
      <c r="C57" s="16">
        <v>7.0</v>
      </c>
      <c r="D57" s="17"/>
    </row>
    <row r="58">
      <c r="A58" s="15">
        <v>7.0</v>
      </c>
      <c r="B58" s="16">
        <v>9.0</v>
      </c>
      <c r="C58" s="16">
        <v>7.0</v>
      </c>
      <c r="D58" s="17"/>
    </row>
    <row r="59">
      <c r="A59" s="15">
        <v>7.0</v>
      </c>
      <c r="B59" s="16">
        <v>10.0</v>
      </c>
      <c r="C59" s="16">
        <v>10.0</v>
      </c>
      <c r="D59" s="17"/>
    </row>
    <row r="60">
      <c r="A60" s="15">
        <v>7.0</v>
      </c>
      <c r="B60" s="16">
        <v>11.0</v>
      </c>
      <c r="C60" s="16">
        <v>11.0</v>
      </c>
      <c r="D60" s="17"/>
    </row>
    <row r="61">
      <c r="A61" s="15">
        <v>7.0</v>
      </c>
      <c r="B61" s="16">
        <v>12.0</v>
      </c>
      <c r="C61" s="16">
        <v>7.0</v>
      </c>
      <c r="D61" s="17"/>
    </row>
    <row r="62">
      <c r="A62" s="15">
        <v>8.0</v>
      </c>
      <c r="B62" s="16">
        <v>9.0</v>
      </c>
      <c r="C62" s="16">
        <v>8.0</v>
      </c>
      <c r="D62" s="17"/>
    </row>
    <row r="63">
      <c r="A63" s="15">
        <v>8.0</v>
      </c>
      <c r="B63" s="16">
        <v>10.0</v>
      </c>
      <c r="C63" s="16">
        <v>10.0</v>
      </c>
      <c r="D63" s="17"/>
    </row>
    <row r="64">
      <c r="A64" s="15">
        <v>8.0</v>
      </c>
      <c r="B64" s="16">
        <v>11.0</v>
      </c>
      <c r="C64" s="16">
        <v>11.0</v>
      </c>
      <c r="D64" s="17"/>
    </row>
    <row r="65">
      <c r="A65" s="15">
        <v>8.0</v>
      </c>
      <c r="B65" s="16">
        <v>12.0</v>
      </c>
      <c r="C65" s="16">
        <v>12.0</v>
      </c>
      <c r="D65" s="17"/>
    </row>
    <row r="66">
      <c r="A66" s="15">
        <v>9.0</v>
      </c>
      <c r="B66" s="16">
        <v>10.0</v>
      </c>
      <c r="C66" s="16">
        <v>10.0</v>
      </c>
      <c r="D66" s="17"/>
    </row>
    <row r="67">
      <c r="A67" s="15">
        <v>9.0</v>
      </c>
      <c r="B67" s="16">
        <v>11.0</v>
      </c>
      <c r="C67" s="16">
        <v>11.0</v>
      </c>
      <c r="D67" s="17"/>
    </row>
    <row r="68">
      <c r="A68" s="15">
        <v>9.0</v>
      </c>
      <c r="B68" s="16">
        <v>12.0</v>
      </c>
      <c r="C68" s="16">
        <v>9.0</v>
      </c>
      <c r="D68" s="17"/>
    </row>
    <row r="69">
      <c r="A69" s="15">
        <v>10.0</v>
      </c>
      <c r="B69" s="16">
        <v>11.0</v>
      </c>
      <c r="C69" s="16">
        <v>11.0</v>
      </c>
      <c r="D69" s="17"/>
    </row>
    <row r="70">
      <c r="A70" s="15">
        <v>10.0</v>
      </c>
      <c r="B70" s="16">
        <v>12.0</v>
      </c>
      <c r="C70" s="16">
        <v>10.0</v>
      </c>
      <c r="D70" s="17"/>
    </row>
    <row r="71">
      <c r="A71" s="22">
        <v>11.0</v>
      </c>
      <c r="B71" s="27">
        <v>12.0</v>
      </c>
      <c r="C71" s="27">
        <v>11.0</v>
      </c>
      <c r="D71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88.88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3"/>
      <c r="C2" s="3"/>
      <c r="D2" s="3"/>
      <c r="E2" s="4"/>
    </row>
    <row r="3">
      <c r="A3" s="6">
        <v>46094.0</v>
      </c>
      <c r="B3" s="7" t="s">
        <v>2</v>
      </c>
      <c r="D3" s="7" t="s">
        <v>3</v>
      </c>
      <c r="E3" s="4"/>
    </row>
    <row r="4">
      <c r="A4" s="3"/>
      <c r="B4" s="3"/>
      <c r="C4" s="3"/>
      <c r="D4" s="3"/>
      <c r="E4" s="4"/>
    </row>
    <row r="5">
      <c r="A5" s="8" t="s">
        <v>4</v>
      </c>
      <c r="B5" s="9" t="s">
        <v>5</v>
      </c>
      <c r="C5" s="9" t="s">
        <v>6</v>
      </c>
      <c r="D5" s="10" t="s">
        <v>7</v>
      </c>
      <c r="F5" s="11"/>
      <c r="G5" s="12" t="s">
        <v>8</v>
      </c>
      <c r="H5" s="9" t="s">
        <v>9</v>
      </c>
      <c r="I5" s="13" t="s">
        <v>10</v>
      </c>
      <c r="K5" s="14" t="s">
        <v>11</v>
      </c>
    </row>
    <row r="6">
      <c r="A6" s="15">
        <v>1.0</v>
      </c>
      <c r="B6" s="16">
        <v>2.0</v>
      </c>
      <c r="C6" s="16">
        <v>1.0</v>
      </c>
      <c r="D6" s="17"/>
      <c r="F6" s="15" t="s">
        <v>4</v>
      </c>
      <c r="G6" s="18">
        <v>24.0</v>
      </c>
      <c r="H6" s="19">
        <f>COUNTIF(C6:C71,1)</f>
        <v>8</v>
      </c>
      <c r="I6" s="17">
        <f>RANK(H6,H6:H17,0)</f>
        <v>2</v>
      </c>
      <c r="K6" s="20"/>
    </row>
    <row r="7">
      <c r="A7" s="15">
        <v>1.0</v>
      </c>
      <c r="B7" s="16">
        <v>3.0</v>
      </c>
      <c r="C7" s="16">
        <v>1.0</v>
      </c>
      <c r="D7" s="17"/>
      <c r="F7" s="15" t="s">
        <v>5</v>
      </c>
      <c r="G7" s="18">
        <v>21.0</v>
      </c>
      <c r="H7" s="19">
        <f>COUNTIF(C6:C71,2)</f>
        <v>6</v>
      </c>
      <c r="I7" s="17">
        <f>RANK(H7,H6:H17,0)</f>
        <v>5</v>
      </c>
      <c r="K7" s="20"/>
    </row>
    <row r="8">
      <c r="A8" s="15">
        <v>1.0</v>
      </c>
      <c r="B8" s="16">
        <v>4.0</v>
      </c>
      <c r="C8" s="16">
        <v>1.0</v>
      </c>
      <c r="D8" s="17"/>
      <c r="F8" s="15" t="s">
        <v>12</v>
      </c>
      <c r="G8" s="18">
        <v>22.0</v>
      </c>
      <c r="H8" s="19">
        <f>COUNTIF(C6:C71,3)</f>
        <v>1</v>
      </c>
      <c r="I8" s="17">
        <f>RANK(H8,H6:H17,0)</f>
        <v>11</v>
      </c>
      <c r="K8" s="20"/>
    </row>
    <row r="9">
      <c r="A9" s="15">
        <v>1.0</v>
      </c>
      <c r="B9" s="16">
        <v>5.0</v>
      </c>
      <c r="C9" s="16">
        <v>1.0</v>
      </c>
      <c r="D9" s="17"/>
      <c r="F9" s="15" t="s">
        <v>13</v>
      </c>
      <c r="G9" s="18">
        <v>21.0</v>
      </c>
      <c r="H9" s="19">
        <f>COUNTIF(C6:C71,4)</f>
        <v>3</v>
      </c>
      <c r="I9" s="17">
        <f>RANK(H9,H6:H17,0)</f>
        <v>10</v>
      </c>
      <c r="K9" s="20"/>
    </row>
    <row r="10">
      <c r="A10" s="15">
        <v>1.0</v>
      </c>
      <c r="B10" s="16">
        <v>6.0</v>
      </c>
      <c r="C10" s="16">
        <v>6.0</v>
      </c>
      <c r="D10" s="17"/>
      <c r="F10" s="15" t="s">
        <v>14</v>
      </c>
      <c r="G10" s="18">
        <v>19.0</v>
      </c>
      <c r="H10" s="19">
        <f>COUNTIF(C6:C71,5)</f>
        <v>0</v>
      </c>
      <c r="I10" s="17">
        <f>RANK(H10,H6:H17,0)</f>
        <v>12</v>
      </c>
      <c r="K10" s="20"/>
    </row>
    <row r="11">
      <c r="A11" s="15">
        <v>1.0</v>
      </c>
      <c r="B11" s="16">
        <v>7.0</v>
      </c>
      <c r="C11" s="16">
        <v>1.0</v>
      </c>
      <c r="D11" s="17"/>
      <c r="F11" s="15" t="s">
        <v>15</v>
      </c>
      <c r="G11" s="18">
        <v>24.0</v>
      </c>
      <c r="H11" s="19">
        <f>COUNTIF(C6:C71,6)</f>
        <v>11</v>
      </c>
      <c r="I11" s="17">
        <f>RANK(H11,H6:H17,0)</f>
        <v>1</v>
      </c>
      <c r="K11" s="20"/>
    </row>
    <row r="12">
      <c r="A12" s="15">
        <v>1.0</v>
      </c>
      <c r="B12" s="16">
        <v>8.0</v>
      </c>
      <c r="C12" s="16">
        <v>1.0</v>
      </c>
      <c r="D12" s="17"/>
      <c r="F12" s="15" t="s">
        <v>17</v>
      </c>
      <c r="G12" s="18">
        <v>21.0</v>
      </c>
      <c r="H12" s="19">
        <f>COUNTIF(C6:C71,7)</f>
        <v>6</v>
      </c>
      <c r="I12" s="17">
        <f>RANK(H12,H6:H17,0)</f>
        <v>5</v>
      </c>
      <c r="K12" s="20"/>
    </row>
    <row r="13">
      <c r="A13" s="15">
        <v>1.0</v>
      </c>
      <c r="B13" s="16">
        <v>9.0</v>
      </c>
      <c r="C13" s="16">
        <v>9.0</v>
      </c>
      <c r="D13" s="17"/>
      <c r="F13" s="15" t="s">
        <v>18</v>
      </c>
      <c r="G13" s="18">
        <v>22.0</v>
      </c>
      <c r="H13" s="19">
        <f>COUNTIF(C6:C71,8)</f>
        <v>5</v>
      </c>
      <c r="I13" s="17">
        <f>RANK(H13,H6:H17,0)</f>
        <v>8</v>
      </c>
      <c r="K13" s="20"/>
    </row>
    <row r="14">
      <c r="A14" s="15">
        <v>1.0</v>
      </c>
      <c r="B14" s="16">
        <v>10.0</v>
      </c>
      <c r="C14" s="16">
        <v>10.0</v>
      </c>
      <c r="D14" s="17"/>
      <c r="F14" s="15" t="s">
        <v>19</v>
      </c>
      <c r="G14" s="18">
        <v>23.0</v>
      </c>
      <c r="H14" s="19">
        <f>COUNTIF(C6:C71,9)</f>
        <v>5</v>
      </c>
      <c r="I14" s="17">
        <f>RANK(H14,H6:H17,0)</f>
        <v>8</v>
      </c>
      <c r="K14" s="20"/>
    </row>
    <row r="15">
      <c r="A15" s="15">
        <v>1.0</v>
      </c>
      <c r="B15" s="16">
        <v>11.0</v>
      </c>
      <c r="C15" s="16">
        <v>1.0</v>
      </c>
      <c r="D15" s="17"/>
      <c r="F15" s="15" t="s">
        <v>20</v>
      </c>
      <c r="G15" s="18">
        <v>23.0</v>
      </c>
      <c r="H15" s="19">
        <f>COUNTIF(C6:C71,10)</f>
        <v>8</v>
      </c>
      <c r="I15" s="17">
        <f>RANK(H15,H6:H17,0)</f>
        <v>2</v>
      </c>
      <c r="K15" s="20"/>
    </row>
    <row r="16">
      <c r="A16" s="15">
        <v>1.0</v>
      </c>
      <c r="B16" s="16">
        <v>12.0</v>
      </c>
      <c r="C16" s="16">
        <v>1.0</v>
      </c>
      <c r="D16" s="17"/>
      <c r="F16" s="15" t="s">
        <v>21</v>
      </c>
      <c r="G16" s="18">
        <v>25.0</v>
      </c>
      <c r="H16" s="19">
        <f>COUNTIF(C6:C71,11)</f>
        <v>7</v>
      </c>
      <c r="I16" s="17">
        <f>RANK(H16,H6:H17,0)</f>
        <v>4</v>
      </c>
      <c r="K16" s="20"/>
    </row>
    <row r="17">
      <c r="A17" s="15">
        <v>2.0</v>
      </c>
      <c r="B17" s="16">
        <v>3.0</v>
      </c>
      <c r="C17" s="16">
        <v>2.0</v>
      </c>
      <c r="D17" s="17"/>
      <c r="F17" s="22" t="s">
        <v>22</v>
      </c>
      <c r="G17" s="23">
        <v>24.0</v>
      </c>
      <c r="H17" s="24">
        <f>COUNTIF(C6:C71,12)</f>
        <v>6</v>
      </c>
      <c r="I17" s="25">
        <f>RANK(H17,H6:H17,0)</f>
        <v>5</v>
      </c>
      <c r="K17" s="26"/>
    </row>
    <row r="18">
      <c r="A18" s="15">
        <v>2.0</v>
      </c>
      <c r="B18" s="16">
        <v>4.0</v>
      </c>
      <c r="C18" s="16">
        <v>4.0</v>
      </c>
      <c r="D18" s="17"/>
    </row>
    <row r="19">
      <c r="A19" s="15">
        <v>2.0</v>
      </c>
      <c r="B19" s="16">
        <v>5.0</v>
      </c>
      <c r="C19" s="16">
        <v>2.0</v>
      </c>
      <c r="D19" s="17"/>
    </row>
    <row r="20">
      <c r="A20" s="15">
        <v>2.0</v>
      </c>
      <c r="B20" s="16">
        <v>6.0</v>
      </c>
      <c r="C20" s="16">
        <v>6.0</v>
      </c>
      <c r="D20" s="17"/>
    </row>
    <row r="21">
      <c r="A21" s="15">
        <v>2.0</v>
      </c>
      <c r="B21" s="16">
        <v>7.0</v>
      </c>
      <c r="C21" s="16">
        <v>7.0</v>
      </c>
      <c r="D21" s="17"/>
    </row>
    <row r="22">
      <c r="A22" s="15">
        <v>2.0</v>
      </c>
      <c r="B22" s="16">
        <v>8.0</v>
      </c>
      <c r="C22" s="16">
        <v>2.0</v>
      </c>
      <c r="D22" s="17"/>
    </row>
    <row r="23">
      <c r="A23" s="15">
        <v>2.0</v>
      </c>
      <c r="B23" s="16">
        <v>9.0</v>
      </c>
      <c r="C23" s="16">
        <v>2.0</v>
      </c>
      <c r="D23" s="17"/>
    </row>
    <row r="24">
      <c r="A24" s="15">
        <v>2.0</v>
      </c>
      <c r="B24" s="16">
        <v>10.0</v>
      </c>
      <c r="C24" s="16">
        <v>2.0</v>
      </c>
      <c r="D24" s="17"/>
    </row>
    <row r="25">
      <c r="A25" s="15">
        <v>2.0</v>
      </c>
      <c r="B25" s="16">
        <v>11.0</v>
      </c>
      <c r="C25" s="16">
        <v>11.0</v>
      </c>
      <c r="D25" s="17"/>
    </row>
    <row r="26">
      <c r="A26" s="15">
        <v>2.0</v>
      </c>
      <c r="B26" s="16">
        <v>12.0</v>
      </c>
      <c r="C26" s="16">
        <v>2.0</v>
      </c>
      <c r="D26" s="17"/>
    </row>
    <row r="27">
      <c r="A27" s="15">
        <v>3.0</v>
      </c>
      <c r="B27" s="16">
        <v>4.0</v>
      </c>
      <c r="C27" s="16">
        <v>4.0</v>
      </c>
      <c r="D27" s="17"/>
    </row>
    <row r="28">
      <c r="A28" s="15">
        <v>3.0</v>
      </c>
      <c r="B28" s="16">
        <v>5.0</v>
      </c>
      <c r="C28" s="16">
        <v>3.0</v>
      </c>
      <c r="D28" s="17"/>
    </row>
    <row r="29">
      <c r="A29" s="15">
        <v>3.0</v>
      </c>
      <c r="B29" s="16">
        <v>6.0</v>
      </c>
      <c r="C29" s="16">
        <v>6.0</v>
      </c>
      <c r="D29" s="17"/>
    </row>
    <row r="30">
      <c r="A30" s="15">
        <v>3.0</v>
      </c>
      <c r="B30" s="16">
        <v>7.0</v>
      </c>
      <c r="C30" s="16">
        <v>7.0</v>
      </c>
      <c r="D30" s="17"/>
    </row>
    <row r="31">
      <c r="A31" s="15">
        <v>3.0</v>
      </c>
      <c r="B31" s="16">
        <v>8.0</v>
      </c>
      <c r="C31" s="16">
        <v>8.0</v>
      </c>
      <c r="D31" s="17"/>
    </row>
    <row r="32">
      <c r="A32" s="15">
        <v>3.0</v>
      </c>
      <c r="B32" s="16">
        <v>9.0</v>
      </c>
      <c r="C32" s="16">
        <v>9.0</v>
      </c>
      <c r="D32" s="17"/>
    </row>
    <row r="33">
      <c r="A33" s="15">
        <v>3.0</v>
      </c>
      <c r="B33" s="16">
        <v>10.0</v>
      </c>
      <c r="C33" s="16">
        <v>10.0</v>
      </c>
      <c r="D33" s="17"/>
    </row>
    <row r="34">
      <c r="A34" s="15">
        <v>3.0</v>
      </c>
      <c r="B34" s="16">
        <v>11.0</v>
      </c>
      <c r="C34" s="16">
        <v>11.0</v>
      </c>
      <c r="D34" s="17"/>
    </row>
    <row r="35">
      <c r="A35" s="15">
        <v>3.0</v>
      </c>
      <c r="B35" s="16">
        <v>12.0</v>
      </c>
      <c r="C35" s="16">
        <v>12.0</v>
      </c>
      <c r="D35" s="17"/>
    </row>
    <row r="36">
      <c r="A36" s="15">
        <v>4.0</v>
      </c>
      <c r="B36" s="16">
        <v>5.0</v>
      </c>
      <c r="C36" s="16">
        <v>4.0</v>
      </c>
      <c r="D36" s="17"/>
    </row>
    <row r="37">
      <c r="A37" s="15">
        <v>4.0</v>
      </c>
      <c r="B37" s="16">
        <v>6.0</v>
      </c>
      <c r="C37" s="16">
        <v>6.0</v>
      </c>
      <c r="D37" s="17"/>
    </row>
    <row r="38">
      <c r="A38" s="15">
        <v>4.0</v>
      </c>
      <c r="B38" s="16">
        <v>7.0</v>
      </c>
      <c r="C38" s="16">
        <v>7.0</v>
      </c>
      <c r="D38" s="17"/>
    </row>
    <row r="39">
      <c r="A39" s="15">
        <v>4.0</v>
      </c>
      <c r="B39" s="16">
        <v>8.0</v>
      </c>
      <c r="C39" s="16">
        <v>8.0</v>
      </c>
      <c r="D39" s="17"/>
    </row>
    <row r="40">
      <c r="A40" s="15">
        <v>4.0</v>
      </c>
      <c r="B40" s="16">
        <v>9.0</v>
      </c>
      <c r="C40" s="16">
        <v>9.0</v>
      </c>
      <c r="D40" s="17"/>
    </row>
    <row r="41">
      <c r="A41" s="15">
        <v>4.0</v>
      </c>
      <c r="B41" s="16">
        <v>10.0</v>
      </c>
      <c r="C41" s="16">
        <v>10.0</v>
      </c>
      <c r="D41" s="17"/>
    </row>
    <row r="42">
      <c r="A42" s="15">
        <v>4.0</v>
      </c>
      <c r="B42" s="16">
        <v>11.0</v>
      </c>
      <c r="C42" s="16">
        <v>11.0</v>
      </c>
      <c r="D42" s="17"/>
    </row>
    <row r="43">
      <c r="A43" s="15">
        <v>4.0</v>
      </c>
      <c r="B43" s="16">
        <v>12.0</v>
      </c>
      <c r="C43" s="16">
        <v>12.0</v>
      </c>
      <c r="D43" s="17"/>
    </row>
    <row r="44">
      <c r="A44" s="15">
        <v>5.0</v>
      </c>
      <c r="B44" s="16">
        <v>6.0</v>
      </c>
      <c r="C44" s="16">
        <v>6.0</v>
      </c>
      <c r="D44" s="17"/>
    </row>
    <row r="45">
      <c r="A45" s="15">
        <v>5.0</v>
      </c>
      <c r="B45" s="16">
        <v>7.0</v>
      </c>
      <c r="C45" s="16">
        <v>7.0</v>
      </c>
      <c r="D45" s="17"/>
    </row>
    <row r="46">
      <c r="A46" s="15">
        <v>5.0</v>
      </c>
      <c r="B46" s="16">
        <v>8.0</v>
      </c>
      <c r="C46" s="16">
        <v>8.0</v>
      </c>
      <c r="D46" s="17"/>
    </row>
    <row r="47">
      <c r="A47" s="15">
        <v>5.0</v>
      </c>
      <c r="B47" s="16">
        <v>9.0</v>
      </c>
      <c r="C47" s="16">
        <v>9.0</v>
      </c>
      <c r="D47" s="17"/>
    </row>
    <row r="48">
      <c r="A48" s="15">
        <v>5.0</v>
      </c>
      <c r="B48" s="16">
        <v>10.0</v>
      </c>
      <c r="C48" s="16">
        <v>10.0</v>
      </c>
      <c r="D48" s="17"/>
    </row>
    <row r="49">
      <c r="A49" s="15">
        <v>5.0</v>
      </c>
      <c r="B49" s="16">
        <v>11.0</v>
      </c>
      <c r="C49" s="16">
        <v>11.0</v>
      </c>
      <c r="D49" s="17"/>
    </row>
    <row r="50">
      <c r="A50" s="15">
        <v>5.0</v>
      </c>
      <c r="B50" s="16">
        <v>12.0</v>
      </c>
      <c r="C50" s="16">
        <v>12.0</v>
      </c>
      <c r="D50" s="17"/>
    </row>
    <row r="51">
      <c r="A51" s="15">
        <v>6.0</v>
      </c>
      <c r="B51" s="16">
        <v>7.0</v>
      </c>
      <c r="C51" s="16">
        <v>6.0</v>
      </c>
      <c r="D51" s="17"/>
    </row>
    <row r="52">
      <c r="A52" s="15">
        <v>6.0</v>
      </c>
      <c r="B52" s="16">
        <v>8.0</v>
      </c>
      <c r="C52" s="16">
        <v>6.0</v>
      </c>
      <c r="D52" s="17"/>
    </row>
    <row r="53">
      <c r="A53" s="15">
        <v>6.0</v>
      </c>
      <c r="B53" s="16">
        <v>9.0</v>
      </c>
      <c r="C53" s="16">
        <v>6.0</v>
      </c>
      <c r="D53" s="17"/>
    </row>
    <row r="54">
      <c r="A54" s="15">
        <v>6.0</v>
      </c>
      <c r="B54" s="16">
        <v>10.0</v>
      </c>
      <c r="C54" s="16">
        <v>6.0</v>
      </c>
      <c r="D54" s="17"/>
    </row>
    <row r="55">
      <c r="A55" s="15">
        <v>6.0</v>
      </c>
      <c r="B55" s="16">
        <v>11.0</v>
      </c>
      <c r="C55" s="16">
        <v>6.0</v>
      </c>
      <c r="D55" s="17"/>
    </row>
    <row r="56">
      <c r="A56" s="15">
        <v>6.0</v>
      </c>
      <c r="B56" s="16">
        <v>12.0</v>
      </c>
      <c r="C56" s="16">
        <v>6.0</v>
      </c>
      <c r="D56" s="17"/>
    </row>
    <row r="57">
      <c r="A57" s="15">
        <v>7.0</v>
      </c>
      <c r="B57" s="16">
        <v>8.0</v>
      </c>
      <c r="C57" s="16">
        <v>7.0</v>
      </c>
      <c r="D57" s="17"/>
    </row>
    <row r="58">
      <c r="A58" s="15">
        <v>7.0</v>
      </c>
      <c r="B58" s="16">
        <v>9.0</v>
      </c>
      <c r="C58" s="16">
        <v>7.0</v>
      </c>
      <c r="D58" s="17"/>
    </row>
    <row r="59">
      <c r="A59" s="15">
        <v>7.0</v>
      </c>
      <c r="B59" s="16">
        <v>10.0</v>
      </c>
      <c r="C59" s="16">
        <v>10.0</v>
      </c>
      <c r="D59" s="17"/>
    </row>
    <row r="60">
      <c r="A60" s="15">
        <v>7.0</v>
      </c>
      <c r="B60" s="16">
        <v>11.0</v>
      </c>
      <c r="C60" s="16">
        <v>11.0</v>
      </c>
      <c r="D60" s="17"/>
    </row>
    <row r="61">
      <c r="A61" s="15">
        <v>7.0</v>
      </c>
      <c r="B61" s="16">
        <v>12.0</v>
      </c>
      <c r="C61" s="16">
        <v>12.0</v>
      </c>
      <c r="D61" s="17"/>
    </row>
    <row r="62">
      <c r="A62" s="15">
        <v>8.0</v>
      </c>
      <c r="B62" s="16">
        <v>9.0</v>
      </c>
      <c r="C62" s="16">
        <v>8.0</v>
      </c>
      <c r="D62" s="17"/>
    </row>
    <row r="63">
      <c r="A63" s="15">
        <v>8.0</v>
      </c>
      <c r="B63" s="16">
        <v>10.0</v>
      </c>
      <c r="C63" s="16">
        <v>8.0</v>
      </c>
      <c r="D63" s="17"/>
    </row>
    <row r="64">
      <c r="A64" s="15">
        <v>8.0</v>
      </c>
      <c r="B64" s="16">
        <v>11.0</v>
      </c>
      <c r="C64" s="16">
        <v>11.0</v>
      </c>
      <c r="D64" s="17"/>
    </row>
    <row r="65">
      <c r="A65" s="15">
        <v>8.0</v>
      </c>
      <c r="B65" s="16">
        <v>12.0</v>
      </c>
      <c r="C65" s="16">
        <v>12.0</v>
      </c>
      <c r="D65" s="17"/>
    </row>
    <row r="66">
      <c r="A66" s="15">
        <v>9.0</v>
      </c>
      <c r="B66" s="16">
        <v>10.0</v>
      </c>
      <c r="C66" s="16">
        <v>10.0</v>
      </c>
      <c r="D66" s="17"/>
    </row>
    <row r="67">
      <c r="A67" s="15">
        <v>9.0</v>
      </c>
      <c r="B67" s="16">
        <v>11.0</v>
      </c>
      <c r="C67" s="16">
        <v>11.0</v>
      </c>
      <c r="D67" s="17"/>
    </row>
    <row r="68">
      <c r="A68" s="15">
        <v>9.0</v>
      </c>
      <c r="B68" s="16">
        <v>12.0</v>
      </c>
      <c r="C68" s="16">
        <v>9.0</v>
      </c>
      <c r="D68" s="17"/>
    </row>
    <row r="69">
      <c r="A69" s="15">
        <v>10.0</v>
      </c>
      <c r="B69" s="16">
        <v>11.0</v>
      </c>
      <c r="C69" s="16">
        <v>10.0</v>
      </c>
      <c r="D69" s="17"/>
    </row>
    <row r="70">
      <c r="A70" s="15">
        <v>10.0</v>
      </c>
      <c r="B70" s="16">
        <v>12.0</v>
      </c>
      <c r="C70" s="16">
        <v>10.0</v>
      </c>
      <c r="D70" s="17"/>
    </row>
    <row r="71">
      <c r="A71" s="22">
        <v>11.0</v>
      </c>
      <c r="B71" s="27">
        <v>12.0</v>
      </c>
      <c r="C71" s="27">
        <v>12.0</v>
      </c>
      <c r="D71" s="25"/>
    </row>
  </sheetData>
  <drawing r:id="rId1"/>
</worksheet>
</file>